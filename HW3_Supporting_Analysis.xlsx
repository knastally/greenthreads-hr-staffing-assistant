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leaned Data" sheetId="2" r:id="rId6"/>
    <sheet state="visible" name="Email Compare" sheetId="3" r:id="rId7"/>
    <sheet state="visible" name="Returns" sheetId="4" r:id="rId8"/>
    <sheet state="visible" name="Average Spend" sheetId="5" r:id="rId9"/>
    <sheet state="visible" name="Repeat Customers" sheetId="6" r:id="rId10"/>
    <sheet state="visible" name="Customer Count by Channel" sheetId="7" r:id="rId11"/>
    <sheet state="visible" name="Cleaning Log" sheetId="8" r:id="rId12"/>
    <sheet state="visible" name="Analysis" sheetId="9" r:id="rId13"/>
    <sheet state="visible" name="Choice Set" sheetId="10" r:id="rId14"/>
    <sheet state="visible" name="Supporting Evidence" sheetId="11" r:id="rId15"/>
  </sheets>
  <definedNames>
    <definedName hidden="1" localSheetId="1" name="_xlnm._FilterDatabase">'Cleaned Data'!$A$1:$Z$281</definedName>
  </definedNames>
  <calcPr/>
  <pivotCaches>
    <pivotCache cacheId="0" r:id="rId16"/>
  </pivotCaches>
</workbook>
</file>

<file path=xl/sharedStrings.xml><?xml version="1.0" encoding="utf-8"?>
<sst xmlns="http://schemas.openxmlformats.org/spreadsheetml/2006/main" count="2404" uniqueCount="411">
  <si>
    <t>Customer_ID</t>
  </si>
  <si>
    <t>Home_Market</t>
  </si>
  <si>
    <t>Acquisition_Channel</t>
  </si>
  <si>
    <t>First_Purchase_Date</t>
  </si>
  <si>
    <t>Last_Purchase_Date</t>
  </si>
  <si>
    <t>Total_Orders</t>
  </si>
  <si>
    <t>Total_Spend_USD</t>
  </si>
  <si>
    <t>Avg_Order_Value</t>
  </si>
  <si>
    <t>Days_Since_Last_Purchase</t>
  </si>
  <si>
    <t>Email_Subscribed</t>
  </si>
  <si>
    <t>Returns_Count</t>
  </si>
  <si>
    <t>GT-20181</t>
  </si>
  <si>
    <t>Austin-South Congress</t>
  </si>
  <si>
    <t>Email</t>
  </si>
  <si>
    <t>N</t>
  </si>
  <si>
    <t>GT-20197</t>
  </si>
  <si>
    <t>Seattle-Ballard</t>
  </si>
  <si>
    <t>Y</t>
  </si>
  <si>
    <t>GT-20199</t>
  </si>
  <si>
    <t>Bend</t>
  </si>
  <si>
    <t>GT-20201</t>
  </si>
  <si>
    <t>GT-20203</t>
  </si>
  <si>
    <t>Tacoma</t>
  </si>
  <si>
    <t>GT-20205</t>
  </si>
  <si>
    <t>Portland-Pearl</t>
  </si>
  <si>
    <t>GT-20194</t>
  </si>
  <si>
    <t>GT-20208</t>
  </si>
  <si>
    <t>Spokane</t>
  </si>
  <si>
    <t>GT-20207</t>
  </si>
  <si>
    <t>Boise</t>
  </si>
  <si>
    <t>GT-20186</t>
  </si>
  <si>
    <t>Seattle-Cap Hill</t>
  </si>
  <si>
    <t>GT-20191</t>
  </si>
  <si>
    <t>GT-20183</t>
  </si>
  <si>
    <t>Salt Lake City</t>
  </si>
  <si>
    <t>GT-20202</t>
  </si>
  <si>
    <t>Portland-Division</t>
  </si>
  <si>
    <t>GT-20193</t>
  </si>
  <si>
    <t>GT-20192</t>
  </si>
  <si>
    <t>GT-20204</t>
  </si>
  <si>
    <t>COUNTA of Customer_ID</t>
  </si>
  <si>
    <t>GT-20188</t>
  </si>
  <si>
    <t>GT-20187</t>
  </si>
  <si>
    <t>AVERAGE of Total_Orders</t>
  </si>
  <si>
    <t>AVERAGE of Total_Spend_USD</t>
  </si>
  <si>
    <t>GT-20198</t>
  </si>
  <si>
    <t>AVERAGE of Returns_Count</t>
  </si>
  <si>
    <t>GT-20195</t>
  </si>
  <si>
    <t>GT-20206</t>
  </si>
  <si>
    <t>Grand Total</t>
  </si>
  <si>
    <t>GT-20190</t>
  </si>
  <si>
    <t>GT-20200</t>
  </si>
  <si>
    <t>GT-20184</t>
  </si>
  <si>
    <t>GT-20185</t>
  </si>
  <si>
    <t>GT-20182</t>
  </si>
  <si>
    <t>GT-20196</t>
  </si>
  <si>
    <t>GT-20189</t>
  </si>
  <si>
    <t>GT-20121</t>
  </si>
  <si>
    <t>Facebook</t>
  </si>
  <si>
    <t>GT-20095</t>
  </si>
  <si>
    <t>GT-20096</t>
  </si>
  <si>
    <t>GT-20093</t>
  </si>
  <si>
    <t>GT-20087</t>
  </si>
  <si>
    <t>GT-20101</t>
  </si>
  <si>
    <t>GT-20123</t>
  </si>
  <si>
    <t>GT-20106</t>
  </si>
  <si>
    <t>GT-20126</t>
  </si>
  <si>
    <t>GT-20113</t>
  </si>
  <si>
    <t>GT-20120</t>
  </si>
  <si>
    <t>GT-20122</t>
  </si>
  <si>
    <t>GT-20130</t>
  </si>
  <si>
    <t>GT-20115</t>
  </si>
  <si>
    <t>GT-20107</t>
  </si>
  <si>
    <t>GT-20109</t>
  </si>
  <si>
    <t>GT-20117</t>
  </si>
  <si>
    <t>Boulder</t>
  </si>
  <si>
    <t>GT-20089</t>
  </si>
  <si>
    <t>GT-20119</t>
  </si>
  <si>
    <t>GT-20091</t>
  </si>
  <si>
    <t>GT-20128</t>
  </si>
  <si>
    <t>GT-20125</t>
  </si>
  <si>
    <t>GT-20110</t>
  </si>
  <si>
    <t>GT-20116</t>
  </si>
  <si>
    <t>GT-20090</t>
  </si>
  <si>
    <t>GT-20098</t>
  </si>
  <si>
    <t>GT-20127</t>
  </si>
  <si>
    <t>GT-20124</t>
  </si>
  <si>
    <t>GT-20104</t>
  </si>
  <si>
    <t>GT-20129</t>
  </si>
  <si>
    <t>GT-20092</t>
  </si>
  <si>
    <t>GT-20100</t>
  </si>
  <si>
    <t>GT-20112</t>
  </si>
  <si>
    <t>GT-20086</t>
  </si>
  <si>
    <t>GT-20118</t>
  </si>
  <si>
    <t>GT-20088</t>
  </si>
  <si>
    <t>GT-20103</t>
  </si>
  <si>
    <t>Eugene</t>
  </si>
  <si>
    <t>GT-20114</t>
  </si>
  <si>
    <t>GT-20094</t>
  </si>
  <si>
    <t>GT-20108</t>
  </si>
  <si>
    <t>GT-20105</t>
  </si>
  <si>
    <t>GT-20099</t>
  </si>
  <si>
    <t>GT-20111</t>
  </si>
  <si>
    <t>GT-20102</t>
  </si>
  <si>
    <t>GT-20097</t>
  </si>
  <si>
    <t>GT-20160</t>
  </si>
  <si>
    <t>Google Ads</t>
  </si>
  <si>
    <t>GT-20161</t>
  </si>
  <si>
    <t>GT-20168</t>
  </si>
  <si>
    <t>GT-20164</t>
  </si>
  <si>
    <t>GT-20136</t>
  </si>
  <si>
    <t>GT-20150</t>
  </si>
  <si>
    <t>GT-20146</t>
  </si>
  <si>
    <t>GT-20163</t>
  </si>
  <si>
    <t>GT-20169</t>
  </si>
  <si>
    <t>GT-20156</t>
  </si>
  <si>
    <t>GT-20132</t>
  </si>
  <si>
    <t>GT-20151</t>
  </si>
  <si>
    <t>GT-20166</t>
  </si>
  <si>
    <t>GT-20138</t>
  </si>
  <si>
    <t>GT-20153</t>
  </si>
  <si>
    <t>GT-20139</t>
  </si>
  <si>
    <t>GT-20141</t>
  </si>
  <si>
    <t>GT-20142</t>
  </si>
  <si>
    <t>GT-20176</t>
  </si>
  <si>
    <t>GT-20175</t>
  </si>
  <si>
    <t>GT-20144</t>
  </si>
  <si>
    <t>GT-20167</t>
  </si>
  <si>
    <t>GT-20145</t>
  </si>
  <si>
    <t>GT-20177</t>
  </si>
  <si>
    <t>GT-20137</t>
  </si>
  <si>
    <t>GT-20165</t>
  </si>
  <si>
    <t>GT-20148</t>
  </si>
  <si>
    <t>GT-20171</t>
  </si>
  <si>
    <t>GT-20149</t>
  </si>
  <si>
    <t>GT-20179</t>
  </si>
  <si>
    <t>GT-20154</t>
  </si>
  <si>
    <t>GT-20134</t>
  </si>
  <si>
    <t>GT-20147</t>
  </si>
  <si>
    <t>GT-20140</t>
  </si>
  <si>
    <t>GT-20170</t>
  </si>
  <si>
    <t>GT-20174</t>
  </si>
  <si>
    <t>GT-20172</t>
  </si>
  <si>
    <t>GT-20173</t>
  </si>
  <si>
    <t>GT-20133</t>
  </si>
  <si>
    <t>GT-20143</t>
  </si>
  <si>
    <t>GT-20131</t>
  </si>
  <si>
    <t>GT-20135</t>
  </si>
  <si>
    <t>GT-20155</t>
  </si>
  <si>
    <t>GT-20158</t>
  </si>
  <si>
    <t>GT-20178</t>
  </si>
  <si>
    <t>GT-20152</t>
  </si>
  <si>
    <t>GT-20162</t>
  </si>
  <si>
    <t>GT-20180</t>
  </si>
  <si>
    <t>GT-20159</t>
  </si>
  <si>
    <t>GT-20157</t>
  </si>
  <si>
    <t>GT-20053</t>
  </si>
  <si>
    <t>Instagram</t>
  </si>
  <si>
    <t>GT-20027</t>
  </si>
  <si>
    <t>GT-20032</t>
  </si>
  <si>
    <t>GT-20043</t>
  </si>
  <si>
    <t>GT-20065</t>
  </si>
  <si>
    <t>GT-20056</t>
  </si>
  <si>
    <t>GT-20066</t>
  </si>
  <si>
    <t>GT-20035</t>
  </si>
  <si>
    <t>GT-20016</t>
  </si>
  <si>
    <t>GT-20047</t>
  </si>
  <si>
    <t>GT-20085</t>
  </si>
  <si>
    <t>GT-20054</t>
  </si>
  <si>
    <t>GT-20007</t>
  </si>
  <si>
    <t>GT-20037</t>
  </si>
  <si>
    <t>GT-20011</t>
  </si>
  <si>
    <t>GT-20078</t>
  </si>
  <si>
    <t>GT-20009</t>
  </si>
  <si>
    <t>GT-20049</t>
  </si>
  <si>
    <t>GT-20017</t>
  </si>
  <si>
    <t>GT-20002</t>
  </si>
  <si>
    <t>GT-20079</t>
  </si>
  <si>
    <t>GT-20076</t>
  </si>
  <si>
    <t>GT-20081</t>
  </si>
  <si>
    <t>GT-20019</t>
  </si>
  <si>
    <t>GT-20072</t>
  </si>
  <si>
    <t>GT-20024</t>
  </si>
  <si>
    <t>GT-20039</t>
  </si>
  <si>
    <t>GT-20061</t>
  </si>
  <si>
    <t>GT-20038</t>
  </si>
  <si>
    <t>GT-20055</t>
  </si>
  <si>
    <t>GT-20044</t>
  </si>
  <si>
    <t>GT-20063</t>
  </si>
  <si>
    <t>GT-20060</t>
  </si>
  <si>
    <t>GT-20045</t>
  </si>
  <si>
    <t>GT-20071</t>
  </si>
  <si>
    <t>GT-20067</t>
  </si>
  <si>
    <t>GT-20006</t>
  </si>
  <si>
    <t>GT-20083</t>
  </si>
  <si>
    <t>GT-20068</t>
  </si>
  <si>
    <t>GT-20004</t>
  </si>
  <si>
    <t>GT-20021</t>
  </si>
  <si>
    <t>GT-20057</t>
  </si>
  <si>
    <t>GT-20042</t>
  </si>
  <si>
    <t>GT-20075</t>
  </si>
  <si>
    <t>GT-20025</t>
  </si>
  <si>
    <t>GT-20003</t>
  </si>
  <si>
    <t>GT-20041</t>
  </si>
  <si>
    <t>GT-20059</t>
  </si>
  <si>
    <t>GT-20062</t>
  </si>
  <si>
    <t>GT-20034</t>
  </si>
  <si>
    <t>GT-20010</t>
  </si>
  <si>
    <t>GT-20077</t>
  </si>
  <si>
    <t>GT-20050</t>
  </si>
  <si>
    <t>GT-20022</t>
  </si>
  <si>
    <t>GT-20029</t>
  </si>
  <si>
    <t>GT-20033</t>
  </si>
  <si>
    <t>GT-20020</t>
  </si>
  <si>
    <t>GT-20040</t>
  </si>
  <si>
    <t>GT-20036</t>
  </si>
  <si>
    <t>GT-20069</t>
  </si>
  <si>
    <t>GT-20048</t>
  </si>
  <si>
    <t>GT-20028</t>
  </si>
  <si>
    <t>GT-20064</t>
  </si>
  <si>
    <t>GT-20070</t>
  </si>
  <si>
    <t>GT-20073</t>
  </si>
  <si>
    <t>GT-20051</t>
  </si>
  <si>
    <t>GT-20074</t>
  </si>
  <si>
    <t>GT-20052</t>
  </si>
  <si>
    <t>GT-20080</t>
  </si>
  <si>
    <t>GT-20023</t>
  </si>
  <si>
    <t>GT-20058</t>
  </si>
  <si>
    <t>GT-20030</t>
  </si>
  <si>
    <t>GT-20018</t>
  </si>
  <si>
    <t>GT-20084</t>
  </si>
  <si>
    <t>GT-20046</t>
  </si>
  <si>
    <t>GT-20015</t>
  </si>
  <si>
    <t>GT-20082</t>
  </si>
  <si>
    <t>GT-20012</t>
  </si>
  <si>
    <t>GT-20026</t>
  </si>
  <si>
    <t>GT-20014</t>
  </si>
  <si>
    <t>GT-20031</t>
  </si>
  <si>
    <t>GT-20005</t>
  </si>
  <si>
    <t>GT-20013</t>
  </si>
  <si>
    <t>Walk-in</t>
  </si>
  <si>
    <t>GT-20008</t>
  </si>
  <si>
    <t>Organic</t>
  </si>
  <si>
    <t>GT-20232</t>
  </si>
  <si>
    <t>GT-20216</t>
  </si>
  <si>
    <t>GT-20222</t>
  </si>
  <si>
    <t>GT-20237</t>
  </si>
  <si>
    <t>Referral</t>
  </si>
  <si>
    <t>GT-20233</t>
  </si>
  <si>
    <t>GT-20231</t>
  </si>
  <si>
    <t>GT-20235</t>
  </si>
  <si>
    <t>GT-20238</t>
  </si>
  <si>
    <t>GT-20215</t>
  </si>
  <si>
    <t>GT-20213</t>
  </si>
  <si>
    <t>GT-20209</t>
  </si>
  <si>
    <t>GT-20242</t>
  </si>
  <si>
    <t>GT-20219</t>
  </si>
  <si>
    <t>GT-20236</t>
  </si>
  <si>
    <t>GT-20218</t>
  </si>
  <si>
    <t>GT-20210</t>
  </si>
  <si>
    <t>GT-20220</t>
  </si>
  <si>
    <t>GT-20239</t>
  </si>
  <si>
    <t>GT-20228</t>
  </si>
  <si>
    <t>GT-20225</t>
  </si>
  <si>
    <t>GT-20223</t>
  </si>
  <si>
    <t>GT-20211</t>
  </si>
  <si>
    <t>GT-20214</t>
  </si>
  <si>
    <t>GT-20224</t>
  </si>
  <si>
    <t>GT-20230</t>
  </si>
  <si>
    <t>GT-20217</t>
  </si>
  <si>
    <t>GT-20227</t>
  </si>
  <si>
    <t>GT-20240</t>
  </si>
  <si>
    <t>GT-20212</t>
  </si>
  <si>
    <t>GT-20241</t>
  </si>
  <si>
    <t>GT-20229</t>
  </si>
  <si>
    <t>GT-20221</t>
  </si>
  <si>
    <t>GT-20226</t>
  </si>
  <si>
    <t>GT-20234</t>
  </si>
  <si>
    <t>GT-20262</t>
  </si>
  <si>
    <t>GT-20260</t>
  </si>
  <si>
    <t>GT-20251</t>
  </si>
  <si>
    <t>GT-20255</t>
  </si>
  <si>
    <t>GT-20244</t>
  </si>
  <si>
    <t>GT-20264</t>
  </si>
  <si>
    <t>GT-20254</t>
  </si>
  <si>
    <t>GT-20249</t>
  </si>
  <si>
    <t>GT-20259</t>
  </si>
  <si>
    <t>GT-20256</t>
  </si>
  <si>
    <t>GT-20247</t>
  </si>
  <si>
    <t>GT-20248</t>
  </si>
  <si>
    <t>GT-20258</t>
  </si>
  <si>
    <t>GT-20257</t>
  </si>
  <si>
    <t>GT-20253</t>
  </si>
  <si>
    <t>GT-20246</t>
  </si>
  <si>
    <t>GT-20263</t>
  </si>
  <si>
    <t>GT-20250</t>
  </si>
  <si>
    <t>GT-20243</t>
  </si>
  <si>
    <t>GT-20252</t>
  </si>
  <si>
    <t>GT-20261</t>
  </si>
  <si>
    <t>GT-20245</t>
  </si>
  <si>
    <t>GT-20274</t>
  </si>
  <si>
    <t>GT-20265</t>
  </si>
  <si>
    <t>GT-20266</t>
  </si>
  <si>
    <t>GT-20271</t>
  </si>
  <si>
    <t>GT-20280</t>
  </si>
  <si>
    <t>GT-20272</t>
  </si>
  <si>
    <t>GT-20276</t>
  </si>
  <si>
    <t>GT-20277</t>
  </si>
  <si>
    <t>GT-20279</t>
  </si>
  <si>
    <t>GT-20269</t>
  </si>
  <si>
    <t>GT-20275</t>
  </si>
  <si>
    <t>GT-20267</t>
  </si>
  <si>
    <t>GT-20270</t>
  </si>
  <si>
    <t>GT-20268</t>
  </si>
  <si>
    <t>GT-20281</t>
  </si>
  <si>
    <t>GT-20273</t>
  </si>
  <si>
    <t>GT-20278</t>
  </si>
  <si>
    <t>SUM of Total_Spend_USD</t>
  </si>
  <si>
    <t>Check</t>
  </si>
  <si>
    <t>Customer Demand</t>
  </si>
  <si>
    <t>Formula</t>
  </si>
  <si>
    <t>Date Check</t>
  </si>
  <si>
    <t>AOV Check</t>
  </si>
  <si>
    <t>Blank Customer IDs</t>
  </si>
  <si>
    <t>Metric</t>
  </si>
  <si>
    <t>Value</t>
  </si>
  <si>
    <t>Total Customers</t>
  </si>
  <si>
    <t>Repeat Customers</t>
  </si>
  <si>
    <t>Repeat Customer Rate</t>
  </si>
  <si>
    <t>Average Orders per Customer</t>
  </si>
  <si>
    <t>Average Days Since Last Purchase</t>
  </si>
  <si>
    <t>Key Findings</t>
  </si>
  <si>
    <t>Finding</t>
  </si>
  <si>
    <t>Evidence</t>
  </si>
  <si>
    <t>Why it Matters for HR</t>
  </si>
  <si>
    <t>Customer acquisition is concentrated in a few channels</t>
  </si>
  <si>
    <t>Instagram has 84 customers, followed by Google Ads with 50 and Facebook with 45</t>
  </si>
  <si>
    <t>HR should prepare for demand generated across several launch channels rather than relying on one source</t>
  </si>
  <si>
    <t>Repeat demand continues after the first purchase</t>
  </si>
  <si>
    <t>76 of 280 customers, or 27.1%, placed more than one order</t>
  </si>
  <si>
    <t>Staffing needs continue after opening day</t>
  </si>
  <si>
    <t>Email subscribers show slightly stronger activity</t>
  </si>
  <si>
    <t>Subscribers average about 2.25 orders and $214.66 in spending, compared with 2.04 orders and $197.09 for non-subscribers</t>
  </si>
  <si>
    <t>Ongoing customer engagement may create steadier post-launch workload</t>
  </si>
  <si>
    <t>Customer activity varies by acquisition channel</t>
  </si>
  <si>
    <t>Email customers averaged 3.79 orders, followed by Referral customers at 3.36 and Organic customers at 3.15, compared with the overall average of about 2.19 orders</t>
  </si>
  <si>
    <t>HR may need flexible staffing beyond opening day because some customer groups generate more repeat demand than others</t>
  </si>
  <si>
    <t>Email had the highest Repeat Customers</t>
  </si>
  <si>
    <t>Instagram had the highest spend amount</t>
  </si>
  <si>
    <t>Walk in had a little bit higher return rate than the rest of the channels</t>
  </si>
  <si>
    <t>Customer purchasing behavior varies by acquisition channel.</t>
  </si>
  <si>
    <t>Email customers averaged 3.79 orders, followed by Referral customers at 3.36 and Organic customers at 3.15. Facebook customers averaged the fewest at 1.51 orders, compared with the overall average of 2.19.</t>
  </si>
  <si>
    <t>Some customer groups create more repeat demand than others, so HR may need flexible staffing plans instead of assuming customer activity will be the same across every channel.</t>
  </si>
  <si>
    <t>The analysis shows that GreenThreads attracts customers through several channels and that 27.1% of customers place repeat orders. Email subscribers also show slightly higher average orders and spending than non-subscribers. These patterns suggest that staffing needs continue after the grand opening and may change depending on how customer demand develops across acquisition channels. Because this dataset does not include hourly store traffic or staffing levels, it should support workforce planning rather than determine schedules by itself.</t>
  </si>
  <si>
    <t>Blank Markets</t>
  </si>
  <si>
    <t>Blank Channels</t>
  </si>
  <si>
    <t>Option</t>
  </si>
  <si>
    <t>Approach</t>
  </si>
  <si>
    <t>Advantages</t>
  </si>
  <si>
    <t>Trade-offs</t>
  </si>
  <si>
    <t>Blank First Purchase Dates</t>
  </si>
  <si>
    <t>Blank Last Purchase Dates</t>
  </si>
  <si>
    <t>Current/Manual Staffing and Planning</t>
  </si>
  <si>
    <t>HR continues using historical experience and manager judgment to determine staffing needs.</t>
  </si>
  <si>
    <t>No new technology or implementation cost; managers keep full control.</t>
  </si>
  <si>
    <t>Reactive and does not systematically account for changes in customer demand; could lead to over- or understaffing.</t>
  </si>
  <si>
    <t>Source</t>
  </si>
  <si>
    <t>Demand-Informed Staffing</t>
  </si>
  <si>
    <t>Verified Fact</t>
  </si>
  <si>
    <t>HR reviews customer trends, historical foot traffic, transactions, and other demand indicators before managers set staffing levels.</t>
  </si>
  <si>
    <t>Why it Matters</t>
  </si>
  <si>
    <t>Uses actual demand data without requiring a full AI system; keeps human decision-making central.</t>
  </si>
  <si>
    <t>Requires someone to manually combine and interpret multiple datasets, adding workload to an already-busy HR team.</t>
  </si>
  <si>
    <t>HR Offer Letter</t>
  </si>
  <si>
    <t>Sales Associate pay is $17.50/hour, up to 28 hours/week, with a proposed start date of September 28, 2026</t>
  </si>
  <si>
    <t>Shows how close hiring and onboarding occur to launch and why earlier forecasting could help</t>
  </si>
  <si>
    <t>AI-Assisted Staffing Forecast</t>
  </si>
  <si>
    <t>Denver Budget</t>
  </si>
  <si>
    <t>AI combines historical store demand, customer trends, and HR information to recommend staffing needs; managers make the final decision.</t>
  </si>
  <si>
    <t>Staffing and recruiting budget is $65,000</t>
  </si>
  <si>
    <t>Shows whether the recommendation is financially realistic</t>
  </si>
  <si>
    <t>Uses multiple demand signals, reduces manual analysis, and directly supports the Level 3 staffing-forecasting opportunity identified in HW#1.</t>
  </si>
  <si>
    <t>Finance Transactions</t>
  </si>
  <si>
    <t>Requires clean, integrated data and an approved AI environment; forecasts can be wrong if historical data do not represent Denver accurately.</t>
  </si>
  <si>
    <t>HR-related spending totals $17,558.56, including $13,821.44 paid and $3,737.12 pending. Recruiting and job-board spending totals $3,642.88, training totals $5,822.42, pre-opening payroll totals $6,632.80, and uniforms total $1,460.46.</t>
  </si>
  <si>
    <t>Recommended Option</t>
  </si>
  <si>
    <t>Shows how much of the staffing and recruiting budget has already been committed and whether GreenThreads still has room to support earlier hiring, training, or an AI-assisted staffing process.</t>
  </si>
  <si>
    <t>Technology spending totals $6,648.72, including $6,209.04 paid and $439.68 pending.</t>
  </si>
  <si>
    <t>Shows that GreenThreads is already investing in systems, but the transactions do not identify a specific AI staffing tool, so any AI recommendation would still need budget approval and human oversight.</t>
  </si>
  <si>
    <t>Case Brief</t>
  </si>
  <si>
    <t>Denver needs 14 employees, with 7 seats still open</t>
  </si>
  <si>
    <t>Establishes the staffing gap and urgency</t>
  </si>
  <si>
    <t>Budget + Finance Transactions</t>
  </si>
  <si>
    <t>The Denver budget allocates $65,000 to staffing/recruiting and $20,000 to technology. Recorded HR spending equals about 27.0% of the staffing/recruiting budget, while recorded technology spending equals about 33.2% of the technology budget.</t>
  </si>
  <si>
    <t>Shows that only part of each budget has been recorded as spent, although any new AI investment would still require management approval.</t>
  </si>
  <si>
    <t>Option 3 - AI Assisted Staffing Forecast</t>
  </si>
  <si>
    <t>Checked all 280 records for blank cells. No missing values were found, so no records needed to be removed or filled.</t>
  </si>
  <si>
    <t>Recommendation Rationale</t>
  </si>
  <si>
    <t>Option 3 best supports GreenThreads' staffing goal because it uses customer and historical store-demand data to reduce manual forecasting workload while keeping HR and store management responsible for final hiring and scheduling decisions.</t>
  </si>
  <si>
    <t>Key Limitations</t>
  </si>
  <si>
    <t>Historical customer and store data may not perfectly predict demand at the new Denver location. AI forecasts should therefore be used as decision support rather than automatic staffing decisions.</t>
  </si>
  <si>
    <t>Compared the total number of Customer IDs with the number of unique IDs. No duplicate customer records were found.</t>
  </si>
  <si>
    <t>Orders below 1</t>
  </si>
  <si>
    <t>Spending at or below $0</t>
  </si>
  <si>
    <t>Average order value at or below $0</t>
  </si>
  <si>
    <t>Negative days since purchase</t>
  </si>
  <si>
    <t>Negative returns</t>
  </si>
  <si>
    <t>no customer has a last purchase date occurring before their first purchase date.</t>
  </si>
  <si>
    <t>every value in Avg_Order_Value correctly equals total spending divided by total orders, within one cent.</t>
  </si>
  <si>
    <t>Data Cleaning and Validation: I created a separate working copy of the original Marketing B customer dataset so the raw data remained unchanged. I checked all 280 records for missing values, duplicate Customer IDs, invalid dates, nonpositive order or spending values, negative return counts, and inconsistent average order values. No missing values, duplicate customer records, invalid date sequences, or impossible numeric values were found. I also verified that Average Order Value matched Total Spend divided by Total Orders for every record. The only changes made were standardizing date, currency, and numeric formatting and adding filters for analysis.</t>
  </si>
  <si>
    <t>Independent Verification: The cleaned dataset was compared with the original file using Customer ID as the matching field. All 280 customer records were present, and no underlying customer values changed. Differences between the files were limited to date and currency formatting and row order.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</si>
</sst>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yyyy-mm-dd"/>
  </numFmts>
  <fonts count="5">
    <font>
      <sz val="10.0"/>
      <color rgb="FF000000"/>
      <name val="Arial"/>
      <scheme val="minor"/>
    </font>
    <font>
      <color theme="1"/>
      <name val="Arial"/>
      <scheme val="minor"/>
    </font>
    <font>
      <b/>
      <color theme="1"/>
      <name val="Arial"/>
      <scheme val="minor"/>
    </font>
    <font>
      <b/>
      <sz val="11.0"/>
      <color theme="1"/>
      <name val="Arial"/>
      <scheme val="minor"/>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6" xfId="0" applyAlignment="1" applyFont="1" applyNumberForma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1" numFmtId="4" xfId="0" applyFont="1" applyNumberFormat="1"/>
    <xf borderId="0" fillId="0" fontId="1" numFmtId="164" xfId="0" applyFont="1" applyNumberFormat="1"/>
    <xf borderId="0" fillId="0" fontId="1" numFmtId="165" xfId="0" applyFont="1" applyNumberFormat="1"/>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xf>
    <xf borderId="0" fillId="0" fontId="1" numFmtId="10" xfId="0" applyAlignment="1" applyFont="1" applyNumberFormat="1">
      <alignment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Spent per Acquisition Channel</a:t>
            </a:r>
          </a:p>
        </c:rich>
      </c:tx>
      <c:overlay val="0"/>
    </c:title>
    <c:plotArea>
      <c:layout/>
      <c:barChart>
        <c:barDir val="col"/>
        <c:ser>
          <c:idx val="0"/>
          <c:order val="0"/>
          <c:tx>
            <c:strRef>
              <c:f>'Average Spend'!$B$1</c:f>
            </c:strRef>
          </c:tx>
          <c:spPr>
            <a:solidFill>
              <a:schemeClr val="accent1"/>
            </a:solidFill>
            <a:ln cmpd="sng">
              <a:noFill/>
            </a:ln>
          </c:spPr>
          <c:cat>
            <c:strRef>
              <c:f>'Average Spend'!$A$2:$A$8</c:f>
            </c:strRef>
          </c:cat>
          <c:val>
            <c:numRef>
              <c:f>'Average Spend'!$B$2:$B$8</c:f>
              <c:numCache/>
            </c:numRef>
          </c:val>
        </c:ser>
        <c:axId val="1989991565"/>
        <c:axId val="576886126"/>
      </c:barChart>
      <c:catAx>
        <c:axId val="1989991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Acquisition_Channel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6886126"/>
      </c:catAx>
      <c:valAx>
        <c:axId val="576886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Total_Spend_USD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999156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Orders per Acquisition Channel</a:t>
            </a:r>
          </a:p>
        </c:rich>
      </c:tx>
      <c:overlay val="0"/>
    </c:title>
    <c:plotArea>
      <c:layout/>
      <c:barChart>
        <c:barDir val="col"/>
        <c:ser>
          <c:idx val="0"/>
          <c:order val="0"/>
          <c:tx>
            <c:strRef>
              <c:f>'Repeat Customers'!$B$1</c:f>
            </c:strRef>
          </c:tx>
          <c:spPr>
            <a:solidFill>
              <a:schemeClr val="accent1"/>
            </a:solidFill>
            <a:ln cmpd="sng">
              <a:noFill/>
            </a:ln>
          </c:spPr>
          <c:cat>
            <c:strRef>
              <c:f>'Repeat Customers'!$A$2:$A$8</c:f>
            </c:strRef>
          </c:cat>
          <c:val>
            <c:numRef>
              <c:f>'Repeat Customers'!$B$2:$B$8</c:f>
              <c:numCache/>
            </c:numRef>
          </c:val>
        </c:ser>
        <c:axId val="104397423"/>
        <c:axId val="222895680"/>
      </c:barChart>
      <c:catAx>
        <c:axId val="1043974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Acquisition_Channel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22895680"/>
      </c:catAx>
      <c:valAx>
        <c:axId val="222895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Total_Orders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39742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Customers by Acquisition Channel</a:t>
            </a:r>
          </a:p>
        </c:rich>
      </c:tx>
      <c:overlay val="0"/>
    </c:title>
    <c:plotArea>
      <c:layout/>
      <c:barChart>
        <c:barDir val="bar"/>
        <c:ser>
          <c:idx val="0"/>
          <c:order val="0"/>
          <c:tx>
            <c:strRef>
              <c:f>'Customer Count by Channel'!$B$1</c:f>
            </c:strRef>
          </c:tx>
          <c:spPr>
            <a:solidFill>
              <a:schemeClr val="accent1"/>
            </a:solidFill>
            <a:ln cmpd="sng">
              <a:noFill/>
            </a:ln>
          </c:spPr>
          <c:cat>
            <c:strRef>
              <c:f>'Customer Count by Channel'!$A$2:$A$8</c:f>
            </c:strRef>
          </c:cat>
          <c:val>
            <c:numRef>
              <c:f>'Customer Count by Channel'!$B$2:$B$8</c:f>
              <c:numCache/>
            </c:numRef>
          </c:val>
        </c:ser>
        <c:axId val="1366379483"/>
        <c:axId val="897668127"/>
      </c:barChart>
      <c:catAx>
        <c:axId val="13663794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Acquisition_Channel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7668127"/>
      </c:catAx>
      <c:valAx>
        <c:axId val="8976681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Customer_ID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637948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571500</xdr:colOff>
      <xdr:row>7</xdr:row>
      <xdr:rowOff>85725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7</xdr:row>
      <xdr:rowOff>95250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7</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81" sheet="Cleaned Data"/>
  </cacheSource>
  <cacheFields>
    <cacheField name="Customer_ID" numFmtId="0">
      <sharedItems>
        <s v="GT-20181"/>
        <s v="GT-20197"/>
        <s v="GT-20199"/>
        <s v="GT-20201"/>
        <s v="GT-20203"/>
        <s v="GT-20205"/>
        <s v="GT-20194"/>
        <s v="GT-20208"/>
        <s v="GT-20207"/>
        <s v="GT-20186"/>
        <s v="GT-20191"/>
        <s v="GT-20183"/>
        <s v="GT-20202"/>
        <s v="GT-20193"/>
        <s v="GT-20192"/>
        <s v="GT-20204"/>
        <s v="GT-20188"/>
        <s v="GT-20187"/>
        <s v="GT-20198"/>
        <s v="GT-20195"/>
        <s v="GT-20206"/>
        <s v="GT-20190"/>
        <s v="GT-20200"/>
        <s v="GT-20184"/>
        <s v="GT-20185"/>
        <s v="GT-20182"/>
        <s v="GT-20196"/>
        <s v="GT-20189"/>
        <s v="GT-20121"/>
        <s v="GT-20095"/>
        <s v="GT-20096"/>
        <s v="GT-20093"/>
        <s v="GT-20087"/>
        <s v="GT-20101"/>
        <s v="GT-20123"/>
        <s v="GT-20106"/>
        <s v="GT-20126"/>
        <s v="GT-20113"/>
        <s v="GT-20120"/>
        <s v="GT-20122"/>
        <s v="GT-20130"/>
        <s v="GT-20115"/>
        <s v="GT-20107"/>
        <s v="GT-20109"/>
        <s v="GT-20117"/>
        <s v="GT-20089"/>
        <s v="GT-20119"/>
        <s v="GT-20091"/>
        <s v="GT-20128"/>
        <s v="GT-20125"/>
        <s v="GT-20110"/>
        <s v="GT-20116"/>
        <s v="GT-20090"/>
        <s v="GT-20098"/>
        <s v="GT-20127"/>
        <s v="GT-20124"/>
        <s v="GT-20104"/>
        <s v="GT-20129"/>
        <s v="GT-20092"/>
        <s v="GT-20100"/>
        <s v="GT-20112"/>
        <s v="GT-20086"/>
        <s v="GT-20118"/>
        <s v="GT-20088"/>
        <s v="GT-20103"/>
        <s v="GT-20114"/>
        <s v="GT-20094"/>
        <s v="GT-20108"/>
        <s v="GT-20105"/>
        <s v="GT-20099"/>
        <s v="GT-20111"/>
        <s v="GT-20102"/>
        <s v="GT-20097"/>
        <s v="GT-20160"/>
        <s v="GT-20161"/>
        <s v="GT-20168"/>
        <s v="GT-20164"/>
        <s v="GT-20136"/>
        <s v="GT-20150"/>
        <s v="GT-20146"/>
        <s v="GT-20163"/>
        <s v="GT-20169"/>
        <s v="GT-20156"/>
        <s v="GT-20132"/>
        <s v="GT-20151"/>
        <s v="GT-20166"/>
        <s v="GT-20138"/>
        <s v="GT-20153"/>
        <s v="GT-20139"/>
        <s v="GT-20141"/>
        <s v="GT-20142"/>
        <s v="GT-20176"/>
        <s v="GT-20175"/>
        <s v="GT-20144"/>
        <s v="GT-20167"/>
        <s v="GT-20145"/>
        <s v="GT-20177"/>
        <s v="GT-20137"/>
        <s v="GT-20165"/>
        <s v="GT-20148"/>
        <s v="GT-20171"/>
        <s v="GT-20149"/>
        <s v="GT-20179"/>
        <s v="GT-20154"/>
        <s v="GT-20134"/>
        <s v="GT-20147"/>
        <s v="GT-20140"/>
        <s v="GT-20170"/>
        <s v="GT-20174"/>
        <s v="GT-20172"/>
        <s v="GT-20173"/>
        <s v="GT-20133"/>
        <s v="GT-20143"/>
        <s v="GT-20131"/>
        <s v="GT-20135"/>
        <s v="GT-20155"/>
        <s v="GT-20158"/>
        <s v="GT-20178"/>
        <s v="GT-20152"/>
        <s v="GT-20162"/>
        <s v="GT-20180"/>
        <s v="GT-20159"/>
        <s v="GT-20157"/>
        <s v="GT-20053"/>
        <s v="GT-20027"/>
        <s v="GT-20032"/>
        <s v="GT-20043"/>
        <s v="GT-20065"/>
        <s v="GT-20056"/>
        <s v="GT-20066"/>
        <s v="GT-20035"/>
        <s v="GT-20016"/>
        <s v="GT-20047"/>
        <s v="GT-20085"/>
        <s v="GT-20054"/>
        <s v="GT-20007"/>
        <s v="GT-20037"/>
        <s v="GT-20011"/>
        <s v="GT-20078"/>
        <s v="GT-20009"/>
        <s v="GT-20049"/>
        <s v="GT-20017"/>
        <s v="GT-20002"/>
        <s v="GT-20079"/>
        <s v="GT-20076"/>
        <s v="GT-20081"/>
        <s v="GT-20019"/>
        <s v="GT-20072"/>
        <s v="GT-20024"/>
        <s v="GT-20039"/>
        <s v="GT-20061"/>
        <s v="GT-20038"/>
        <s v="GT-20055"/>
        <s v="GT-20044"/>
        <s v="GT-20063"/>
        <s v="GT-20060"/>
        <s v="GT-20045"/>
        <s v="GT-20071"/>
        <s v="GT-20067"/>
        <s v="GT-20006"/>
        <s v="GT-20083"/>
        <s v="GT-20068"/>
        <s v="GT-20004"/>
        <s v="GT-20021"/>
        <s v="GT-20057"/>
        <s v="GT-20042"/>
        <s v="GT-20075"/>
        <s v="GT-20025"/>
        <s v="GT-20003"/>
        <s v="GT-20041"/>
        <s v="GT-20059"/>
        <s v="GT-20062"/>
        <s v="GT-20034"/>
        <s v="GT-20010"/>
        <s v="GT-20077"/>
        <s v="GT-20050"/>
        <s v="GT-20022"/>
        <s v="GT-20029"/>
        <s v="GT-20033"/>
        <s v="GT-20020"/>
        <s v="GT-20040"/>
        <s v="GT-20036"/>
        <s v="GT-20069"/>
        <s v="GT-20048"/>
        <s v="GT-20028"/>
        <s v="GT-20064"/>
        <s v="GT-20070"/>
        <s v="GT-20073"/>
        <s v="GT-20051"/>
        <s v="GT-20074"/>
        <s v="GT-20052"/>
        <s v="GT-20080"/>
        <s v="GT-20023"/>
        <s v="GT-20058"/>
        <s v="GT-20030"/>
        <s v="GT-20018"/>
        <s v="GT-20084"/>
        <s v="GT-20046"/>
        <s v="GT-20015"/>
        <s v="GT-20082"/>
        <s v="GT-20012"/>
        <s v="GT-20026"/>
        <s v="GT-20014"/>
        <s v="GT-20031"/>
        <s v="GT-20005"/>
        <s v="GT-20013"/>
        <s v="GT-20008"/>
        <s v="GT-20232"/>
        <s v="GT-20216"/>
        <s v="GT-20222"/>
        <s v="GT-20237"/>
        <s v="GT-20233"/>
        <s v="GT-20231"/>
        <s v="GT-20235"/>
        <s v="GT-20238"/>
        <s v="GT-20215"/>
        <s v="GT-20213"/>
        <s v="GT-20209"/>
        <s v="GT-20242"/>
        <s v="GT-20219"/>
        <s v="GT-20236"/>
        <s v="GT-20218"/>
        <s v="GT-20210"/>
        <s v="GT-20220"/>
        <s v="GT-20239"/>
        <s v="GT-20228"/>
        <s v="GT-20225"/>
        <s v="GT-20223"/>
        <s v="GT-20211"/>
        <s v="GT-20214"/>
        <s v="GT-20224"/>
        <s v="GT-20230"/>
        <s v="GT-20217"/>
        <s v="GT-20227"/>
        <s v="GT-20240"/>
        <s v="GT-20212"/>
        <s v="GT-20241"/>
        <s v="GT-20229"/>
        <s v="GT-20221"/>
        <s v="GT-20226"/>
        <s v="GT-20234"/>
        <s v="GT-20262"/>
        <s v="GT-20260"/>
        <s v="GT-20251"/>
        <s v="GT-20255"/>
        <s v="GT-20244"/>
        <s v="GT-20264"/>
        <s v="GT-20254"/>
        <s v="GT-20249"/>
        <s v="GT-20259"/>
        <s v="GT-20256"/>
        <s v="GT-20247"/>
        <s v="GT-20248"/>
        <s v="GT-20258"/>
        <s v="GT-20257"/>
        <s v="GT-20253"/>
        <s v="GT-20246"/>
        <s v="GT-20263"/>
        <s v="GT-20250"/>
        <s v="GT-20243"/>
        <s v="GT-20252"/>
        <s v="GT-20261"/>
        <s v="GT-20245"/>
        <s v="GT-20274"/>
        <s v="GT-20265"/>
        <s v="GT-20266"/>
        <s v="GT-20271"/>
        <s v="GT-20280"/>
        <s v="GT-20272"/>
        <s v="GT-20276"/>
        <s v="GT-20277"/>
        <s v="GT-20279"/>
        <s v="GT-20269"/>
        <s v="GT-20275"/>
        <s v="GT-20267"/>
        <s v="GT-20270"/>
        <s v="GT-20268"/>
        <s v="GT-20281"/>
        <s v="GT-20273"/>
        <s v="GT-20278"/>
      </sharedItems>
    </cacheField>
    <cacheField name="Home_Market" numFmtId="0">
      <sharedItems>
        <s v="Austin-South Congress"/>
        <s v="Seattle-Ballard"/>
        <s v="Bend"/>
        <s v="Tacoma"/>
        <s v="Portland-Pearl"/>
        <s v="Spokane"/>
        <s v="Boise"/>
        <s v="Seattle-Cap Hill"/>
        <s v="Salt Lake City"/>
        <s v="Portland-Division"/>
        <s v="Boulder"/>
        <s v="Eugene"/>
      </sharedItems>
    </cacheField>
    <cacheField name="Acquisition_Channel" numFmtId="0">
      <sharedItems>
        <s v="Email"/>
        <s v="Facebook"/>
        <s v="Google Ads"/>
        <s v="Instagram"/>
        <s v="Organic"/>
        <s v="Referral"/>
        <s v="Walk-in"/>
      </sharedItems>
    </cacheField>
    <cacheField name="First_Purchase_Date" numFmtId="164">
      <sharedItems containsSemiMixedTypes="0" containsDate="1" containsString="0">
        <d v="2026-04-27T00:00:00Z"/>
        <d v="2025-07-21T00:00:00Z"/>
        <d v="2026-05-30T00:00:00Z"/>
        <d v="2025-08-04T00:00:00Z"/>
        <d v="2025-02-21T00:00:00Z"/>
        <d v="2025-11-20T00:00:00Z"/>
        <d v="2026-05-03T00:00:00Z"/>
        <d v="2024-09-02T00:00:00Z"/>
        <d v="2026-05-28T00:00:00Z"/>
        <d v="2025-06-04T00:00:00Z"/>
        <d v="2024-07-07T00:00:00Z"/>
        <d v="2024-12-18T00:00:00Z"/>
        <d v="2025-05-18T00:00:00Z"/>
        <d v="2026-05-10T00:00:00Z"/>
        <d v="2024-12-22T00:00:00Z"/>
        <d v="2024-09-14T00:00:00Z"/>
        <d v="2025-09-03T00:00:00Z"/>
        <d v="2024-07-26T00:00:00Z"/>
        <d v="2026-02-17T00:00:00Z"/>
        <d v="2024-10-18T00:00:00Z"/>
        <d v="2024-07-14T00:00:00Z"/>
        <d v="2025-09-27T00:00:00Z"/>
        <d v="2025-08-20T00:00:00Z"/>
        <d v="2025-02-22T00:00:00Z"/>
        <d v="2025-04-23T00:00:00Z"/>
        <d v="2025-03-08T00:00:00Z"/>
        <d v="2025-06-17T00:00:00Z"/>
        <d v="2026-06-01T00:00:00Z"/>
        <d v="2025-12-01T00:00:00Z"/>
        <d v="2026-03-07T00:00:00Z"/>
        <d v="2025-06-02T00:00:00Z"/>
        <d v="2025-10-12T00:00:00Z"/>
        <d v="2024-11-20T00:00:00Z"/>
        <d v="2024-08-10T00:00:00Z"/>
        <d v="2024-09-09T00:00:00Z"/>
        <d v="2026-01-14T00:00:00Z"/>
        <d v="2025-03-12T00:00:00Z"/>
        <d v="2024-08-02T00:00:00Z"/>
        <d v="2026-03-16T00:00:00Z"/>
        <d v="2025-09-18T00:00:00Z"/>
        <d v="2025-04-16T00:00:00Z"/>
        <d v="2024-07-09T00:00:00Z"/>
        <d v="2025-05-12T00:00:00Z"/>
        <d v="2025-10-17T00:00:00Z"/>
        <d v="2024-08-11T00:00:00Z"/>
        <d v="2024-10-29T00:00:00Z"/>
        <d v="2024-10-16T00:00:00Z"/>
        <d v="2024-08-06T00:00:00Z"/>
        <d v="2024-08-19T00:00:00Z"/>
        <d v="2025-07-07T00:00:00Z"/>
        <d v="2024-10-30T00:00:00Z"/>
        <d v="2024-11-08T00:00:00Z"/>
        <d v="2026-01-20T00:00:00Z"/>
        <d v="2026-01-19T00:00:00Z"/>
        <d v="2025-04-21T00:00:00Z"/>
        <d v="2025-12-17T00:00:00Z"/>
        <d v="2026-01-17T00:00:00Z"/>
        <d v="2026-03-13T00:00:00Z"/>
        <d v="2025-09-30T00:00:00Z"/>
        <d v="2026-02-16T00:00:00Z"/>
        <d v="2025-03-17T00:00:00Z"/>
        <d v="2024-10-31T00:00:00Z"/>
        <d v="2025-07-28T00:00:00Z"/>
        <d v="2026-05-08T00:00:00Z"/>
        <d v="2024-12-30T00:00:00Z"/>
        <d v="2024-09-21T00:00:00Z"/>
        <d v="2026-05-14T00:00:00Z"/>
        <d v="2025-10-08T00:00:00Z"/>
        <d v="2026-01-06T00:00:00Z"/>
        <d v="2025-02-14T00:00:00Z"/>
        <d v="2025-03-01T00:00:00Z"/>
        <d v="2024-11-13T00:00:00Z"/>
        <d v="2026-02-05T00:00:00Z"/>
        <d v="2025-05-02T00:00:00Z"/>
        <d v="2025-05-30T00:00:00Z"/>
        <d v="2025-01-22T00:00:00Z"/>
        <d v="2024-12-11T00:00:00Z"/>
        <d v="2025-04-27T00:00:00Z"/>
        <d v="2026-05-15T00:00:00Z"/>
        <d v="2026-04-30T00:00:00Z"/>
        <d v="2024-12-28T00:00:00Z"/>
        <d v="2024-10-14T00:00:00Z"/>
        <d v="2025-12-02T00:00:00Z"/>
        <d v="2025-01-05T00:00:00Z"/>
        <d v="2025-09-21T00:00:00Z"/>
        <d v="2025-11-06T00:00:00Z"/>
        <d v="2025-07-18T00:00:00Z"/>
        <d v="2026-03-25T00:00:00Z"/>
        <d v="2024-11-19T00:00:00Z"/>
        <d v="2026-04-14T00:00:00Z"/>
        <d v="2026-05-17T00:00:00Z"/>
        <d v="2025-05-25T00:00:00Z"/>
        <d v="2025-08-15T00:00:00Z"/>
        <d v="2025-05-31T00:00:00Z"/>
        <d v="2026-02-22T00:00:00Z"/>
        <d v="2025-12-31T00:00:00Z"/>
        <d v="2025-02-01T00:00:00Z"/>
        <d v="2025-12-19T00:00:00Z"/>
        <d v="2025-11-17T00:00:00Z"/>
        <d v="2024-12-16T00:00:00Z"/>
        <d v="2026-03-27T00:00:00Z"/>
        <d v="2025-12-05T00:00:00Z"/>
        <d v="2025-10-16T00:00:00Z"/>
        <d v="2025-06-07T00:00:00Z"/>
        <d v="2025-01-04T00:00:00Z"/>
        <d v="2024-09-17T00:00:00Z"/>
        <d v="2026-03-12T00:00:00Z"/>
        <d v="2025-10-28T00:00:00Z"/>
        <d v="2025-11-07T00:00:00Z"/>
        <d v="2024-07-18T00:00:00Z"/>
        <d v="2025-05-05T00:00:00Z"/>
        <d v="2025-06-14T00:00:00Z"/>
        <d v="2025-07-26T00:00:00Z"/>
        <d v="2026-05-23T00:00:00Z"/>
        <d v="2024-08-09T00:00:00Z"/>
        <d v="2025-11-25T00:00:00Z"/>
        <d v="2025-07-09T00:00:00Z"/>
        <d v="2025-05-16T00:00:00Z"/>
        <d v="2025-03-07T00:00:00Z"/>
        <d v="2026-04-25T00:00:00Z"/>
        <d v="2025-07-23T00:00:00Z"/>
        <d v="2025-06-11T00:00:00Z"/>
        <d v="2026-05-27T00:00:00Z"/>
        <d v="2024-11-28T00:00:00Z"/>
        <d v="2025-11-16T00:00:00Z"/>
        <d v="2025-08-12T00:00:00Z"/>
        <d v="2024-10-21T00:00:00Z"/>
        <d v="2026-01-23T00:00:00Z"/>
        <d v="2026-04-15T00:00:00Z"/>
        <d v="2026-05-26T00:00:00Z"/>
        <d v="2025-05-08T00:00:00Z"/>
        <d v="2025-08-06T00:00:00Z"/>
        <d v="2025-05-20T00:00:00Z"/>
        <d v="2025-03-21T00:00:00Z"/>
        <d v="2024-10-15T00:00:00Z"/>
        <d v="2025-12-21T00:00:00Z"/>
        <d v="2025-04-26T00:00:00Z"/>
        <d v="2025-03-26T00:00:00Z"/>
        <d v="2025-11-14T00:00:00Z"/>
        <d v="2026-01-29T00:00:00Z"/>
        <d v="2024-07-29T00:00:00Z"/>
        <d v="2025-03-11T00:00:00Z"/>
        <d v="2024-11-10T00:00:00Z"/>
        <d v="2026-04-07T00:00:00Z"/>
        <d v="2024-11-21T00:00:00Z"/>
        <d v="2026-03-30T00:00:00Z"/>
        <d v="2024-07-24T00:00:00Z"/>
        <d v="2025-02-10T00:00:00Z"/>
        <d v="2025-08-08T00:00:00Z"/>
        <d v="2025-02-20T00:00:00Z"/>
        <d v="2025-09-20T00:00:00Z"/>
        <d v="2025-08-09T00:00:00Z"/>
        <d v="2026-04-24T00:00:00Z"/>
        <d v="2025-06-30T00:00:00Z"/>
        <d v="2025-02-03T00:00:00Z"/>
        <d v="2025-12-24T00:00:00Z"/>
        <d v="2025-11-02T00:00:00Z"/>
        <d v="2025-09-02T00:00:00Z"/>
        <d v="2026-01-28T00:00:00Z"/>
        <d v="2026-03-28T00:00:00Z"/>
        <d v="2025-09-13T00:00:00Z"/>
        <d v="2024-10-23T00:00:00Z"/>
        <d v="2025-05-29T00:00:00Z"/>
        <d v="2025-10-04T00:00:00Z"/>
        <d v="2024-08-23T00:00:00Z"/>
        <d v="2025-08-29T00:00:00Z"/>
        <d v="2025-12-15T00:00:00Z"/>
        <d v="2024-10-20T00:00:00Z"/>
        <d v="2024-07-25T00:00:00Z"/>
        <d v="2026-05-01T00:00:00Z"/>
        <d v="2025-09-04T00:00:00Z"/>
        <d v="2025-06-08T00:00:00Z"/>
        <d v="2025-07-29T00:00:00Z"/>
        <d v="2026-04-19T00:00:00Z"/>
        <d v="2025-10-21T00:00:00Z"/>
        <d v="2024-08-22T00:00:00Z"/>
        <d v="2024-09-03T00:00:00Z"/>
        <d v="2025-10-19T00:00:00Z"/>
        <d v="2025-10-31T00:00:00Z"/>
        <d v="2024-09-15T00:00:00Z"/>
        <d v="2025-05-09T00:00:00Z"/>
        <d v="2025-06-21T00:00:00Z"/>
        <d v="2025-11-22T00:00:00Z"/>
        <d v="2025-02-07T00:00:00Z"/>
        <d v="2025-02-16T00:00:00Z"/>
        <d v="2026-05-22T00:00:00Z"/>
        <d v="2026-03-22T00:00:00Z"/>
        <d v="2025-12-03T00:00:00Z"/>
        <d v="2025-08-22T00:00:00Z"/>
        <d v="2024-07-08T00:00:00Z"/>
        <d v="2026-01-25T00:00:00Z"/>
        <d v="2025-11-30T00:00:00Z"/>
        <d v="2026-03-08T00:00:00Z"/>
        <d v="2024-11-27T00:00:00Z"/>
        <d v="2024-10-13T00:00:00Z"/>
        <d v="2026-01-16T00:00:00Z"/>
        <d v="2024-09-05T00:00:00Z"/>
        <d v="2024-08-21T00:00:00Z"/>
        <d v="2024-09-08T00:00:00Z"/>
        <d v="2026-03-03T00:00:00Z"/>
        <d v="2025-09-23T00:00:00Z"/>
        <d v="2026-04-18T00:00:00Z"/>
        <d v="2025-06-09T00:00:00Z"/>
        <d v="2025-12-13T00:00:00Z"/>
        <d v="2025-04-29T00:00:00Z"/>
        <d v="2025-03-18T00:00:00Z"/>
        <d v="2026-01-05T00:00:00Z"/>
        <d v="2026-02-20T00:00:00Z"/>
        <d v="2025-01-25T00:00:00Z"/>
        <d v="2024-07-12T00:00:00Z"/>
        <d v="2026-03-24T00:00:00Z"/>
        <d v="2024-11-29T00:00:00Z"/>
        <d v="2026-04-04T00:00:00Z"/>
        <d v="2026-01-21T00:00:00Z"/>
        <d v="2025-05-28T00:00:00Z"/>
        <d v="2025-05-01T00:00:00Z"/>
        <d v="2025-10-20T00:00:00Z"/>
        <d v="2025-04-11T00:00:00Z"/>
        <d v="2024-11-14T00:00:00Z"/>
        <d v="2025-10-01T00:00:00Z"/>
        <d v="2026-03-10T00:00:00Z"/>
        <d v="2025-06-20T00:00:00Z"/>
        <d v="2026-01-10T00:00:00Z"/>
        <d v="2025-02-19T00:00:00Z"/>
        <d v="2024-09-25T00:00:00Z"/>
        <d v="2025-03-23T00:00:00Z"/>
        <d v="2025-12-27T00:00:00Z"/>
        <d v="2024-08-30T00:00:00Z"/>
        <d v="2024-11-06T00:00:00Z"/>
        <d v="2025-02-05T00:00:00Z"/>
        <d v="2026-04-06T00:00:00Z"/>
        <d v="2025-07-01T00:00:00Z"/>
        <d v="2026-03-01T00:00:00Z"/>
        <d v="2026-03-05T00:00:00Z"/>
        <d v="2025-05-22T00:00:00Z"/>
        <d v="2025-05-14T00:00:00Z"/>
      </sharedItems>
    </cacheField>
    <cacheField name="Last_Purchase_Date" numFmtId="164">
      <sharedItems containsSemiMixedTypes="0" containsDate="1" containsString="0">
        <d v="2026-07-14T00:00:00Z"/>
        <d v="2025-07-21T00:00:00Z"/>
        <d v="2026-05-30T00:00:00Z"/>
        <d v="2025-08-04T00:00:00Z"/>
        <d v="2025-02-21T00:00:00Z"/>
        <d v="2025-11-20T00:00:00Z"/>
        <d v="2026-05-03T00:00:00Z"/>
        <d v="2024-09-02T00:00:00Z"/>
        <d v="2024-07-07T00:00:00Z"/>
        <d v="2025-12-02T00:00:00Z"/>
        <d v="2025-05-18T00:00:00Z"/>
        <d v="2026-05-10T00:00:00Z"/>
        <d v="2024-12-22T00:00:00Z"/>
        <d v="2025-11-21T00:00:00Z"/>
        <d v="2026-02-28T00:00:00Z"/>
        <d v="2025-06-17T00:00:00Z"/>
        <d v="2025-02-03T00:00:00Z"/>
        <d v="2025-01-16T00:00:00Z"/>
        <d v="2026-01-03T00:00:00Z"/>
        <d v="2025-04-30T00:00:00Z"/>
        <d v="2025-08-28T00:00:00Z"/>
        <d v="2025-03-08T00:00:00Z"/>
        <d v="2026-03-09T00:00:00Z"/>
        <d v="2026-06-01T00:00:00Z"/>
        <d v="2025-12-01T00:00:00Z"/>
        <d v="2026-03-07T00:00:00Z"/>
        <d v="2025-09-27T00:00:00Z"/>
        <d v="2025-06-02T00:00:00Z"/>
        <d v="2025-10-12T00:00:00Z"/>
        <d v="2024-11-20T00:00:00Z"/>
        <d v="2024-08-10T00:00:00Z"/>
        <d v="2025-09-09T00:00:00Z"/>
        <d v="2026-01-14T00:00:00Z"/>
        <d v="2025-03-12T00:00:00Z"/>
        <d v="2024-08-02T00:00:00Z"/>
        <d v="2025-09-06T00:00:00Z"/>
        <d v="2025-09-18T00:00:00Z"/>
        <d v="2025-04-16T00:00:00Z"/>
        <d v="2024-07-09T00:00:00Z"/>
        <d v="2025-05-12T00:00:00Z"/>
        <d v="2025-10-17T00:00:00Z"/>
        <d v="2024-08-11T00:00:00Z"/>
        <d v="2024-10-29T00:00:00Z"/>
        <d v="2024-10-16T00:00:00Z"/>
        <d v="2024-08-06T00:00:00Z"/>
        <d v="2024-08-19T00:00:00Z"/>
        <d v="2025-07-07T00:00:00Z"/>
        <d v="2024-10-30T00:00:00Z"/>
        <d v="2024-11-08T00:00:00Z"/>
        <d v="2026-06-15T00:00:00Z"/>
        <d v="2026-01-19T00:00:00Z"/>
        <d v="2025-04-21T00:00:00Z"/>
        <d v="2025-12-17T00:00:00Z"/>
        <d v="2026-01-17T00:00:00Z"/>
        <d v="2026-03-13T00:00:00Z"/>
        <d v="2025-12-03T00:00:00Z"/>
        <d v="2026-02-16T00:00:00Z"/>
        <d v="2025-03-17T00:00:00Z"/>
        <d v="2024-10-31T00:00:00Z"/>
        <d v="2025-07-28T00:00:00Z"/>
        <d v="2026-05-08T00:00:00Z"/>
        <d v="2024-12-30T00:00:00Z"/>
        <d v="2024-09-21T00:00:00Z"/>
        <d v="2026-05-14T00:00:00Z"/>
        <d v="2025-10-08T00:00:00Z"/>
        <d v="2025-09-19T00:00:00Z"/>
        <d v="2025-03-01T00:00:00Z"/>
        <d v="2024-11-13T00:00:00Z"/>
        <d v="2026-02-05T00:00:00Z"/>
        <d v="2025-05-02T00:00:00Z"/>
        <d v="2025-07-20T00:00:00Z"/>
        <d v="2025-01-22T00:00:00Z"/>
        <d v="2024-12-11T00:00:00Z"/>
        <d v="2025-04-27T00:00:00Z"/>
        <d v="2026-05-15T00:00:00Z"/>
        <d v="2026-04-30T00:00:00Z"/>
        <d v="2024-12-28T00:00:00Z"/>
        <d v="2024-10-14T00:00:00Z"/>
        <d v="2025-01-05T00:00:00Z"/>
        <d v="2025-09-21T00:00:00Z"/>
        <d v="2025-11-06T00:00:00Z"/>
        <d v="2025-07-18T00:00:00Z"/>
        <d v="2024-11-19T00:00:00Z"/>
        <d v="2026-04-14T00:00:00Z"/>
        <d v="2026-05-17T00:00:00Z"/>
        <d v="2025-05-25T00:00:00Z"/>
        <d v="2025-08-15T00:00:00Z"/>
        <d v="2025-05-31T00:00:00Z"/>
        <d v="2026-02-22T00:00:00Z"/>
        <d v="2025-12-31T00:00:00Z"/>
        <d v="2025-02-01T00:00:00Z"/>
        <d v="2025-11-17T00:00:00Z"/>
        <d v="2025-08-14T00:00:00Z"/>
        <d v="2025-12-05T00:00:00Z"/>
        <d v="2025-10-16T00:00:00Z"/>
        <d v="2025-06-07T00:00:00Z"/>
        <d v="2025-01-04T00:00:00Z"/>
        <d v="2025-09-12T00:00:00Z"/>
        <d v="2026-03-12T00:00:00Z"/>
        <d v="2025-10-28T00:00:00Z"/>
        <d v="2024-07-18T00:00:00Z"/>
        <d v="2025-05-05T00:00:00Z"/>
        <d v="2025-06-14T00:00:00Z"/>
        <d v="2025-07-26T00:00:00Z"/>
        <d v="2026-05-23T00:00:00Z"/>
        <d v="2024-08-09T00:00:00Z"/>
        <d v="2025-11-25T00:00:00Z"/>
        <d v="2025-07-09T00:00:00Z"/>
        <d v="2025-05-16T00:00:00Z"/>
        <d v="2025-03-07T00:00:00Z"/>
        <d v="2026-04-25T00:00:00Z"/>
        <d v="2025-07-23T00:00:00Z"/>
        <d v="2025-06-11T00:00:00Z"/>
        <d v="2026-05-27T00:00:00Z"/>
        <d v="2024-11-28T00:00:00Z"/>
        <d v="2025-11-16T00:00:00Z"/>
        <d v="2025-08-12T00:00:00Z"/>
        <d v="2024-10-21T00:00:00Z"/>
        <d v="2026-01-23T00:00:00Z"/>
        <d v="2026-04-15T00:00:00Z"/>
        <d v="2026-05-26T00:00:00Z"/>
        <d v="2025-05-08T00:00:00Z"/>
        <d v="2025-08-06T00:00:00Z"/>
        <d v="2025-05-20T00:00:00Z"/>
        <d v="2025-03-21T00:00:00Z"/>
        <d v="2024-10-15T00:00:00Z"/>
        <d v="2025-12-21T00:00:00Z"/>
        <d v="2025-03-26T00:00:00Z"/>
        <d v="2025-11-14T00:00:00Z"/>
        <d v="2026-01-29T00:00:00Z"/>
        <d v="2024-07-29T00:00:00Z"/>
        <d v="2025-03-11T00:00:00Z"/>
        <d v="2026-06-05T00:00:00Z"/>
        <d v="2026-04-07T00:00:00Z"/>
        <d v="2024-11-21T00:00:00Z"/>
        <d v="2025-05-30T00:00:00Z"/>
        <d v="2026-03-30T00:00:00Z"/>
        <d v="2024-07-24T00:00:00Z"/>
        <d v="2025-02-10T00:00:00Z"/>
        <d v="2025-08-08T00:00:00Z"/>
        <d v="2026-03-28T00:00:00Z"/>
        <d v="2025-12-30T00:00:00Z"/>
        <d v="2025-09-20T00:00:00Z"/>
        <d v="2026-02-20T00:00:00Z"/>
        <d v="2025-06-30T00:00:00Z"/>
        <d v="2026-03-14T00:00:00Z"/>
        <d v="2025-12-24T00:00:00Z"/>
        <d v="2025-11-02T00:00:00Z"/>
        <d v="2025-09-02T00:00:00Z"/>
        <d v="2026-01-28T00:00:00Z"/>
        <d v="2025-09-13T00:00:00Z"/>
        <d v="2025-05-29T00:00:00Z"/>
        <d v="2025-10-04T00:00:00Z"/>
        <d v="2024-08-23T00:00:00Z"/>
        <d v="2025-08-29T00:00:00Z"/>
        <d v="2025-12-15T00:00:00Z"/>
        <d v="2024-10-20T00:00:00Z"/>
        <d v="2024-07-25T00:00:00Z"/>
        <d v="2026-05-01T00:00:00Z"/>
        <d v="2025-09-04T00:00:00Z"/>
        <d v="2025-06-08T00:00:00Z"/>
        <d v="2026-04-19T00:00:00Z"/>
        <d v="2024-08-22T00:00:00Z"/>
        <d v="2024-09-03T00:00:00Z"/>
        <d v="2025-10-19T00:00:00Z"/>
        <d v="2024-09-15T00:00:00Z"/>
        <d v="2025-05-09T00:00:00Z"/>
        <d v="2025-06-21T00:00:00Z"/>
        <d v="2025-11-22T00:00:00Z"/>
        <d v="2025-02-07T00:00:00Z"/>
        <d v="2025-12-08T00:00:00Z"/>
        <d v="2026-03-22T00:00:00Z"/>
        <d v="2025-08-22T00:00:00Z"/>
        <d v="2026-01-25T00:00:00Z"/>
        <d v="2024-11-27T00:00:00Z"/>
        <d v="2024-10-13T00:00:00Z"/>
        <d v="2026-01-16T00:00:00Z"/>
        <d v="2024-09-05T00:00:00Z"/>
        <d v="2024-12-03T00:00:00Z"/>
        <d v="2024-09-08T00:00:00Z"/>
        <d v="2025-05-01T00:00:00Z"/>
        <d v="2026-04-18T00:00:00Z"/>
        <d v="2025-10-15T00:00:00Z"/>
        <d v="2025-12-13T00:00:00Z"/>
        <d v="2025-04-29T00:00:00Z"/>
        <d v="2025-03-18T00:00:00Z"/>
        <d v="2026-01-05T00:00:00Z"/>
        <d v="2026-04-10T00:00:00Z"/>
        <d v="2026-03-24T00:00:00Z"/>
        <d v="2024-11-29T00:00:00Z"/>
        <d v="2025-08-27T00:00:00Z"/>
        <d v="2026-07-12T00:00:00Z"/>
        <d v="2025-05-28T00:00:00Z"/>
        <d v="2025-10-20T00:00:00Z"/>
        <d v="2025-04-11T00:00:00Z"/>
        <d v="2026-05-02T00:00:00Z"/>
        <d v="2024-11-14T00:00:00Z"/>
        <d v="2026-03-05T00:00:00Z"/>
        <d v="2026-01-10T00:00:00Z"/>
        <d v="2025-02-19T00:00:00Z"/>
        <d v="2024-09-25T00:00:00Z"/>
        <d v="2025-12-27T00:00:00Z"/>
        <d v="2024-08-30T00:00:00Z"/>
        <d v="2024-11-06T00:00:00Z"/>
        <d v="2025-02-05T00:00:00Z"/>
        <d v="2025-07-01T00:00:00Z"/>
        <d v="2026-03-01T00:00:00Z"/>
        <d v="2024-12-23T00:00:00Z"/>
        <d v="2025-05-22T00:00:00Z"/>
        <d v="2025-05-14T00:00:00Z"/>
      </sharedItems>
    </cacheField>
    <cacheField name="Total_Orders" numFmtId="0">
      <sharedItems containsSemiMixedTypes="0" containsString="0" containsNumber="1" containsInteger="1">
        <n v="8.0"/>
        <n v="1.0"/>
        <n v="3.0"/>
        <n v="4.0"/>
        <n v="7.0"/>
        <n v="5.0"/>
        <n v="2.0"/>
        <n v="6.0"/>
      </sharedItems>
    </cacheField>
    <cacheField name="Total_Spend_USD" numFmtId="165">
      <sharedItems containsSemiMixedTypes="0" containsString="0" containsNumber="1">
        <n v="776.32"/>
        <n v="155.28"/>
        <n v="92.65"/>
        <n v="97.3"/>
        <n v="92.38"/>
        <n v="91.6"/>
        <n v="133.13"/>
        <n v="92.04"/>
        <n v="405.69"/>
        <n v="581.16"/>
        <n v="155.36"/>
        <n v="208.72"/>
        <n v="108.77"/>
        <n v="153.84"/>
        <n v="92.82"/>
        <n v="730.1"/>
        <n v="912.24"/>
        <n v="982.1"/>
        <n v="757.05"/>
        <n v="666.89"/>
        <n v="1018.16"/>
        <n v="648.34"/>
        <n v="580.3"/>
        <n v="548.87"/>
        <n v="688.4"/>
        <n v="111.34"/>
        <n v="280.64"/>
        <n v="116.22"/>
        <n v="46.08"/>
        <n v="87.32"/>
        <n v="91.54"/>
        <n v="78.46"/>
        <n v="77.11"/>
        <n v="104.5"/>
        <n v="88.68"/>
        <n v="454.86"/>
        <n v="60.28"/>
        <n v="70.25"/>
        <n v="63.63"/>
        <n v="629.16"/>
        <n v="268.74"/>
        <n v="64.74"/>
        <n v="59.53"/>
        <n v="90.54"/>
        <n v="99.8"/>
        <n v="117.64"/>
        <n v="91.29"/>
        <n v="63.75"/>
        <n v="101.76"/>
        <n v="96.26"/>
        <n v="93.28"/>
        <n v="43.86"/>
        <n v="81.08"/>
        <n v="112.26"/>
        <n v="69.82"/>
        <n v="41.88"/>
        <n v="72.16"/>
        <n v="272.32"/>
        <n v="92.35"/>
        <n v="65.88"/>
        <n v="88.51"/>
        <n v="74.92"/>
        <n v="71.87"/>
        <n v="771.19"/>
        <n v="97.2"/>
        <n v="99.21"/>
        <n v="74.28"/>
        <n v="81.39"/>
        <n v="55.91"/>
        <n v="123.83"/>
        <n v="94.57"/>
        <n v="67.08"/>
        <n v="98.48"/>
        <n v="161.64"/>
        <n v="416.45"/>
        <n v="97.46"/>
        <n v="96.45"/>
        <n v="89.03"/>
        <n v="142.59"/>
        <n v="130.84"/>
        <n v="91.72"/>
        <n v="71.53"/>
        <n v="150.26"/>
        <n v="126.05"/>
        <n v="86.47"/>
        <n v="61.21"/>
        <n v="103.12"/>
        <n v="130.39"/>
        <n v="76.19"/>
        <n v="111.68"/>
        <n v="137.78"/>
        <n v="115.13"/>
        <n v="67.91"/>
        <n v="66.85"/>
        <n v="69.63"/>
        <n v="111.65"/>
        <n v="1067.68"/>
        <n v="333.5"/>
        <n v="80.77"/>
        <n v="129.68"/>
        <n v="85.55"/>
        <n v="81.93"/>
        <n v="111.15"/>
        <n v="104.25"/>
        <n v="111.07"/>
        <n v="81.76"/>
        <n v="76.04"/>
        <n v="88.32"/>
        <n v="70.59"/>
        <n v="663.2"/>
        <n v="119.89"/>
        <n v="698.64"/>
        <n v="78.74"/>
        <n v="1126.8"/>
        <n v="337.85"/>
        <n v="118.59"/>
        <n v="108.19"/>
        <n v="79.02"/>
        <n v="111.87"/>
        <n v="269.31"/>
        <n v="72.9"/>
        <n v="106.7"/>
        <n v="84.81"/>
        <n v="59.72"/>
        <n v="65.86"/>
        <n v="88.55"/>
        <n v="118.4"/>
        <n v="106.01"/>
        <n v="120.95"/>
        <n v="77.5"/>
        <n v="243.32"/>
        <n v="97.62"/>
        <n v="71.36"/>
        <n v="68.38"/>
        <n v="79.5"/>
        <n v="112.93"/>
        <n v="127.73"/>
        <n v="105.21"/>
        <n v="60.63"/>
        <n v="69.2"/>
        <n v="45.95"/>
        <n v="73.06"/>
        <n v="117.45"/>
        <n v="96.52"/>
        <n v="112.37"/>
        <n v="70.28"/>
        <n v="63.53"/>
        <n v="76.68"/>
        <n v="55.75"/>
        <n v="51.05"/>
        <n v="105.14"/>
        <n v="102.58"/>
        <n v="314.84"/>
        <n v="125.62"/>
        <n v="107.09"/>
        <n v="69.64"/>
        <n v="104.69"/>
        <n v="125.36"/>
        <n v="65.11"/>
        <n v="456.08"/>
        <n v="82.32"/>
        <n v="78.84"/>
        <n v="94.55"/>
        <n v="45.78"/>
        <n v="81.77"/>
        <n v="88.47"/>
        <n v="64.77"/>
        <n v="94.28"/>
        <n v="696.72"/>
        <n v="463.08"/>
        <n v="95.06"/>
        <n v="212.34"/>
        <n v="172.8"/>
        <n v="98.65"/>
        <n v="376.24"/>
        <n v="86.8"/>
        <n v="65.48"/>
        <n v="71.84"/>
        <n v="64.48"/>
        <n v="46.88"/>
        <n v="59.04"/>
        <n v="529.86"/>
        <n v="107.67"/>
        <n v="71.51"/>
        <n v="83.25"/>
        <n v="76.36"/>
        <n v="43.65"/>
        <n v="125.22"/>
        <n v="69.68"/>
        <n v="81.33"/>
        <n v="53.71"/>
        <n v="533.32"/>
        <n v="72.31"/>
        <n v="83.6"/>
        <n v="581.28"/>
        <n v="66.64"/>
        <n v="361.02"/>
        <n v="67.83"/>
        <n v="59.0"/>
        <n v="86.43"/>
        <n v="83.29"/>
        <n v="496.32"/>
        <n v="73.3"/>
        <n v="80.11"/>
        <n v="78.16"/>
        <n v="82.84"/>
        <n v="121.39"/>
        <n v="516.48"/>
        <n v="152.49"/>
        <n v="387.24"/>
        <n v="616.28"/>
        <n v="94.65"/>
        <n v="133.12"/>
        <n v="571.83"/>
        <n v="161.63"/>
        <n v="1089.28"/>
        <n v="76.41"/>
        <n v="109.3"/>
        <n v="372.61"/>
        <n v="588.78"/>
        <n v="226.26"/>
        <n v="98.38"/>
        <n v="86.41"/>
        <n v="76.25"/>
        <n v="80.28"/>
        <n v="464.05"/>
        <n v="95.78"/>
        <n v="260.04"/>
        <n v="279.63"/>
        <n v="1156.12"/>
        <n v="616.07"/>
        <n v="80.89"/>
        <n v="244.32"/>
        <n v="101.47"/>
        <n v="123.35"/>
        <n v="40.2"/>
        <n v="80.07"/>
        <n v="707.4"/>
        <n v="92.63"/>
        <n v="1047.48"/>
        <n v="436.55"/>
        <n v="472.45"/>
        <n v="71.1"/>
        <n v="827.88"/>
        <n v="117.92"/>
        <n v="674.17"/>
        <n v="61.38"/>
        <n v="62.94"/>
        <n v="102.04"/>
        <n v="466.02"/>
        <n v="611.94"/>
        <n v="633.68"/>
        <n v="149.21"/>
        <n v="50.95"/>
        <n v="154.72"/>
        <n v="71.6"/>
        <n v="399.54"/>
        <n v="438.42"/>
        <n v="94.38"/>
        <n v="253.56"/>
        <n v="542.22"/>
        <n v="740.39"/>
        <n v="132.09"/>
        <n v="132.7"/>
        <n v="166.04"/>
        <n v="56.06"/>
        <n v="225.52"/>
        <n v="71.31"/>
        <n v="61.2"/>
        <n v="55.35"/>
        <n v="126.68"/>
        <n v="1109.44"/>
        <n v="103.08"/>
        <n v="80.78"/>
        <n v="221.9"/>
        <n v="136.62"/>
        <n v="96.5"/>
        <n v="67.72"/>
        <n v="110.56"/>
      </sharedItems>
    </cacheField>
    <cacheField name="Avg_Order_Value" numFmtId="165">
      <sharedItems containsSemiMixedTypes="0" containsString="0" containsNumber="1">
        <n v="97.04"/>
        <n v="155.28"/>
        <n v="92.65"/>
        <n v="97.3"/>
        <n v="92.38"/>
        <n v="91.6"/>
        <n v="133.13"/>
        <n v="92.04"/>
        <n v="135.23"/>
        <n v="145.29"/>
        <n v="155.36"/>
        <n v="52.18"/>
        <n v="108.77"/>
        <n v="153.84"/>
        <n v="92.82"/>
        <n v="104.3"/>
        <n v="114.03"/>
        <n v="140.3"/>
        <n v="108.15"/>
        <n v="95.27"/>
        <n v="127.27"/>
        <n v="92.62"/>
        <n v="82.9"/>
        <n v="78.41"/>
        <n v="137.68"/>
        <n v="111.34"/>
        <n v="70.16"/>
        <n v="116.22"/>
        <n v="46.08"/>
        <n v="87.32"/>
        <n v="91.54"/>
        <n v="78.46"/>
        <n v="77.11"/>
        <n v="104.5"/>
        <n v="88.68"/>
        <n v="64.98"/>
        <n v="60.28"/>
        <n v="70.25"/>
        <n v="63.63"/>
        <n v="89.88"/>
        <n v="89.58"/>
        <n v="64.74"/>
        <n v="59.53"/>
        <n v="90.54"/>
        <n v="99.8"/>
        <n v="117.64"/>
        <n v="91.29"/>
        <n v="63.75"/>
        <n v="101.76"/>
        <n v="96.26"/>
        <n v="93.28"/>
        <n v="43.86"/>
        <n v="81.08"/>
        <n v="112.26"/>
        <n v="69.82"/>
        <n v="41.88"/>
        <n v="72.16"/>
        <n v="68.08"/>
        <n v="92.35"/>
        <n v="65.88"/>
        <n v="88.51"/>
        <n v="74.92"/>
        <n v="71.87"/>
        <n v="110.17"/>
        <n v="97.2"/>
        <n v="99.21"/>
        <n v="74.28"/>
        <n v="81.39"/>
        <n v="55.91"/>
        <n v="123.83"/>
        <n v="94.57"/>
        <n v="67.08"/>
        <n v="98.48"/>
        <n v="161.64"/>
        <n v="83.29"/>
        <n v="48.73"/>
        <n v="96.45"/>
        <n v="89.03"/>
        <n v="142.59"/>
        <n v="130.84"/>
        <n v="91.72"/>
        <n v="71.53"/>
        <n v="75.13"/>
        <n v="126.05"/>
        <n v="86.47"/>
        <n v="61.21"/>
        <n v="103.12"/>
        <n v="130.39"/>
        <n v="76.19"/>
        <n v="111.68"/>
        <n v="137.78"/>
        <n v="115.13"/>
        <n v="67.91"/>
        <n v="66.85"/>
        <n v="69.63"/>
        <n v="111.65"/>
        <n v="133.46"/>
        <n v="66.7"/>
        <n v="80.77"/>
        <n v="129.68"/>
        <n v="85.55"/>
        <n v="81.93"/>
        <n v="111.15"/>
        <n v="104.25"/>
        <n v="111.07"/>
        <n v="81.76"/>
        <n v="76.04"/>
        <n v="88.32"/>
        <n v="70.59"/>
        <n v="132.64"/>
        <n v="119.89"/>
        <n v="116.44"/>
        <n v="78.74"/>
        <n v="140.85"/>
        <n v="67.57"/>
        <n v="118.59"/>
        <n v="108.19"/>
        <n v="79.02"/>
        <n v="111.87"/>
        <n v="89.77"/>
        <n v="72.9"/>
        <n v="106.7"/>
        <n v="84.81"/>
        <n v="45.77"/>
        <n v="59.72"/>
        <n v="65.86"/>
        <n v="88.55"/>
        <n v="118.4"/>
        <n v="106.01"/>
        <n v="120.95"/>
        <n v="77.5"/>
        <n v="60.83"/>
        <n v="97.62"/>
        <n v="71.36"/>
        <n v="68.38"/>
        <n v="79.5"/>
        <n v="112.93"/>
        <n v="127.73"/>
        <n v="105.21"/>
        <n v="60.63"/>
        <n v="69.2"/>
        <n v="45.95"/>
        <n v="73.06"/>
        <n v="117.45"/>
        <n v="96.52"/>
        <n v="112.37"/>
        <n v="70.28"/>
        <n v="63.53"/>
        <n v="76.68"/>
        <n v="55.75"/>
        <n v="51.05"/>
        <n v="105.14"/>
        <n v="102.58"/>
        <n v="78.71"/>
        <n v="125.62"/>
        <n v="107.09"/>
        <n v="69.64"/>
        <n v="104.69"/>
        <n v="125.36"/>
        <n v="65.11"/>
        <n v="57.01"/>
        <n v="82.32"/>
        <n v="78.84"/>
        <n v="94.55"/>
        <n v="45.78"/>
        <n v="81.77"/>
        <n v="88.47"/>
        <n v="64.77"/>
        <n v="94.28"/>
        <n v="87.09"/>
        <n v="77.18"/>
        <n v="95.06"/>
        <n v="106.17"/>
        <n v="57.6"/>
        <n v="98.65"/>
        <n v="94.06"/>
        <n v="86.8"/>
        <n v="65.48"/>
        <n v="71.84"/>
        <n v="64.48"/>
        <n v="46.88"/>
        <n v="59.04"/>
        <n v="88.31"/>
        <n v="107.67"/>
        <n v="71.51"/>
        <n v="83.25"/>
        <n v="76.36"/>
        <n v="43.65"/>
        <n v="125.22"/>
        <n v="69.68"/>
        <n v="81.33"/>
        <n v="53.71"/>
        <n v="133.33"/>
        <n v="72.31"/>
        <n v="83.6"/>
        <n v="83.04"/>
        <n v="66.64"/>
        <n v="60.17"/>
        <n v="67.83"/>
        <n v="59.0"/>
        <n v="86.43"/>
        <n v="124.08"/>
        <n v="73.3"/>
        <n v="80.11"/>
        <n v="78.16"/>
        <n v="82.84"/>
        <n v="121.39"/>
        <n v="129.12"/>
        <n v="152.49"/>
        <n v="64.54"/>
        <n v="88.04"/>
        <n v="94.65"/>
        <n v="133.12"/>
        <n v="81.69"/>
        <n v="161.63"/>
        <n v="136.16"/>
        <n v="76.41"/>
        <n v="109.3"/>
        <n v="53.23"/>
        <n v="98.13"/>
        <n v="75.42"/>
        <n v="98.38"/>
        <n v="86.41"/>
        <n v="76.25"/>
        <n v="80.28"/>
        <n v="92.81"/>
        <n v="95.78"/>
        <n v="86.68"/>
        <n v="93.21"/>
        <n v="165.16"/>
        <n v="88.01"/>
        <n v="80.89"/>
        <n v="81.44"/>
        <n v="101.47"/>
        <n v="123.35"/>
        <n v="40.2"/>
        <n v="80.07"/>
        <n v="117.9"/>
        <n v="92.63"/>
        <n v="149.64"/>
        <n v="87.31"/>
        <n v="94.49"/>
        <n v="71.1"/>
        <n v="137.98"/>
        <n v="117.92"/>
        <n v="96.31"/>
        <n v="61.38"/>
        <n v="62.94"/>
        <n v="102.04"/>
        <n v="155.34"/>
        <n v="87.42"/>
        <n v="79.21"/>
        <n v="149.21"/>
        <n v="50.95"/>
        <n v="154.72"/>
        <n v="71.6"/>
        <n v="66.59"/>
        <n v="146.14"/>
        <n v="94.38"/>
        <n v="63.39"/>
        <n v="180.74"/>
        <n v="105.77"/>
        <n v="132.09"/>
        <n v="132.7"/>
        <n v="83.02"/>
        <n v="56.06"/>
        <n v="112.76"/>
        <n v="71.31"/>
        <n v="61.2"/>
        <n v="55.35"/>
        <n v="126.68"/>
        <n v="138.68"/>
        <n v="103.08"/>
        <n v="80.78"/>
        <n v="44.38"/>
        <n v="136.62"/>
        <n v="96.5"/>
        <n v="67.72"/>
        <n v="110.56"/>
      </sharedItems>
    </cacheField>
    <cacheField name="Days_Since_Last_Purchase" numFmtId="0">
      <sharedItems containsSemiMixedTypes="0" containsString="0" containsNumber="1" containsInteger="1">
        <n v="0.0"/>
        <n v="358.0"/>
        <n v="45.0"/>
        <n v="344.0"/>
        <n v="508.0"/>
        <n v="236.0"/>
        <n v="72.0"/>
        <n v="680.0"/>
        <n v="737.0"/>
        <n v="224.0"/>
        <n v="422.0"/>
        <n v="65.0"/>
        <n v="569.0"/>
        <n v="235.0"/>
        <n v="136.0"/>
        <n v="392.0"/>
        <n v="526.0"/>
        <n v="544.0"/>
        <n v="192.0"/>
        <n v="440.0"/>
        <n v="320.0"/>
        <n v="493.0"/>
        <n v="127.0"/>
        <n v="43.0"/>
        <n v="225.0"/>
        <n v="129.0"/>
        <n v="290.0"/>
        <n v="407.0"/>
        <n v="275.0"/>
        <n v="601.0"/>
        <n v="703.0"/>
        <n v="308.0"/>
        <n v="181.0"/>
        <n v="489.0"/>
        <n v="711.0"/>
        <n v="311.0"/>
        <n v="299.0"/>
        <n v="454.0"/>
        <n v="735.0"/>
        <n v="428.0"/>
        <n v="270.0"/>
        <n v="702.0"/>
        <n v="623.0"/>
        <n v="636.0"/>
        <n v="707.0"/>
        <n v="694.0"/>
        <n v="372.0"/>
        <n v="622.0"/>
        <n v="613.0"/>
        <n v="29.0"/>
        <n v="176.0"/>
        <n v="449.0"/>
        <n v="209.0"/>
        <n v="178.0"/>
        <n v="123.0"/>
        <n v="223.0"/>
        <n v="148.0"/>
        <n v="484.0"/>
        <n v="621.0"/>
        <n v="351.0"/>
        <n v="67.0"/>
        <n v="561.0"/>
        <n v="661.0"/>
        <n v="61.0"/>
        <n v="279.0"/>
        <n v="298.0"/>
        <n v="500.0"/>
        <n v="608.0"/>
        <n v="159.0"/>
        <n v="438.0"/>
        <n v="359.0"/>
        <n v="538.0"/>
        <n v="580.0"/>
        <n v="443.0"/>
        <n v="60.0"/>
        <n v="75.0"/>
        <n v="563.0"/>
        <n v="638.0"/>
        <n v="555.0"/>
        <n v="296.0"/>
        <n v="250.0"/>
        <n v="361.0"/>
        <n v="602.0"/>
        <n v="91.0"/>
        <n v="58.0"/>
        <n v="415.0"/>
        <n v="333.0"/>
        <n v="409.0"/>
        <n v="142.0"/>
        <n v="195.0"/>
        <n v="528.0"/>
        <n v="239.0"/>
        <n v="334.0"/>
        <n v="221.0"/>
        <n v="271.0"/>
        <n v="402.0"/>
        <n v="556.0"/>
        <n v="305.0"/>
        <n v="124.0"/>
        <n v="259.0"/>
        <n v="726.0"/>
        <n v="435.0"/>
        <n v="395.0"/>
        <n v="353.0"/>
        <n v="52.0"/>
        <n v="704.0"/>
        <n v="231.0"/>
        <n v="370.0"/>
        <n v="424.0"/>
        <n v="494.0"/>
        <n v="80.0"/>
        <n v="356.0"/>
        <n v="398.0"/>
        <n v="48.0"/>
        <n v="593.0"/>
        <n v="240.0"/>
        <n v="336.0"/>
        <n v="631.0"/>
        <n v="172.0"/>
        <n v="90.0"/>
        <n v="49.0"/>
        <n v="432.0"/>
        <n v="342.0"/>
        <n v="420.0"/>
        <n v="480.0"/>
        <n v="637.0"/>
        <n v="205.0"/>
        <n v="475.0"/>
        <n v="242.0"/>
        <n v="166.0"/>
        <n v="715.0"/>
        <n v="490.0"/>
        <n v="39.0"/>
        <n v="98.0"/>
        <n v="600.0"/>
        <n v="410.0"/>
        <n v="106.0"/>
        <n v="720.0"/>
        <n v="519.0"/>
        <n v="340.0"/>
        <n v="108.0"/>
        <n v="196.0"/>
        <n v="297.0"/>
        <n v="144.0"/>
        <n v="379.0"/>
        <n v="122.0"/>
        <n v="202.0"/>
        <n v="254.0"/>
        <n v="315.0"/>
        <n v="167.0"/>
        <n v="304.0"/>
        <n v="411.0"/>
        <n v="283.0"/>
        <n v="690.0"/>
        <n v="319.0"/>
        <n v="211.0"/>
        <n v="632.0"/>
        <n v="719.0"/>
        <n v="74.0"/>
        <n v="313.0"/>
        <n v="401.0"/>
        <n v="86.0"/>
        <n v="691.0"/>
        <n v="679.0"/>
        <n v="268.0"/>
        <n v="667.0"/>
        <n v="431.0"/>
        <n v="388.0"/>
        <n v="234.0"/>
        <n v="522.0"/>
        <n v="218.0"/>
        <n v="114.0"/>
        <n v="326.0"/>
        <n v="170.0"/>
        <n v="594.0"/>
        <n v="639.0"/>
        <n v="179.0"/>
        <n v="677.0"/>
        <n v="588.0"/>
        <n v="674.0"/>
        <n v="439.0"/>
        <n v="87.0"/>
        <n v="272.0"/>
        <n v="213.0"/>
        <n v="441.0"/>
        <n v="483.0"/>
        <n v="190.0"/>
        <n v="95.0"/>
        <n v="112.0"/>
        <n v="592.0"/>
        <n v="321.0"/>
        <n v="2.0"/>
        <n v="412.0"/>
        <n v="267.0"/>
        <n v="459.0"/>
        <n v="73.0"/>
        <n v="607.0"/>
        <n v="131.0"/>
        <n v="185.0"/>
        <n v="510.0"/>
        <n v="657.0"/>
        <n v="199.0"/>
        <n v="683.0"/>
        <n v="615.0"/>
        <n v="524.0"/>
        <n v="378.0"/>
        <n v="135.0"/>
        <n v="568.0"/>
        <n v="418.0"/>
        <n v="426.0"/>
      </sharedItems>
    </cacheField>
    <cacheField name="Email_Subscribed" numFmtId="0">
      <sharedItems>
        <s v="N"/>
        <s v="Y"/>
      </sharedItems>
    </cacheField>
    <cacheField name="Returns_Count" numFmtId="0">
      <sharedItems containsSemiMixedTypes="0" containsString="0" containsNumber="1" containsInteger="1">
        <n v="2.0"/>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mail Compare" cacheId="0" dataCaption="" compact="0" compactData="0">
  <location ref="A1:E4" firstHeaderRow="0" firstDataRow="2" firstDataCol="0"/>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Home_Market" compact="0" outline="0" multipleItemSelectionAllowed="1" showAll="0">
      <items>
        <item x="0"/>
        <item x="1"/>
        <item x="2"/>
        <item x="3"/>
        <item x="4"/>
        <item x="5"/>
        <item x="6"/>
        <item x="7"/>
        <item x="8"/>
        <item x="9"/>
        <item x="10"/>
        <item x="11"/>
        <item t="default"/>
      </items>
    </pivotField>
    <pivotField name="Acquisition_Channel" compact="0" outline="0" multipleItemSelectionAllowed="1" showAll="0">
      <items>
        <item x="0"/>
        <item x="1"/>
        <item x="2"/>
        <item x="3"/>
        <item x="4"/>
        <item x="5"/>
        <item x="6"/>
        <item t="default"/>
      </items>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La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Total_Orders" dataField="1" compact="0" outline="0" multipleItemSelectionAllowed="1" showAll="0">
      <items>
        <item x="0"/>
        <item x="1"/>
        <item x="2"/>
        <item x="3"/>
        <item x="4"/>
        <item x="5"/>
        <item x="6"/>
        <item x="7"/>
        <item t="default"/>
      </items>
    </pivotField>
    <pivotField name="Total_Spend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Avg_Order_Val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Days_Since_Last_Purch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mail_Subscribed" axis="axisRow" compact="0" outline="0" multipleItemSelectionAllowed="1" showAll="0" sortType="ascending">
      <items>
        <item x="0"/>
        <item x="1"/>
        <item t="default"/>
      </items>
    </pivotField>
    <pivotField name="Returns_Count" dataField="1" compact="0" outline="0" multipleItemSelectionAllowed="1" showAll="0">
      <items>
        <item x="0"/>
        <item x="1"/>
        <item x="2"/>
        <item t="default"/>
      </items>
    </pivotField>
  </pivotFields>
  <rowFields>
    <field x="9"/>
  </rowFields>
  <colFields>
    <field x="-2"/>
  </colFields>
  <dataFields>
    <dataField name="COUNTA of Customer_ID" fld="0" subtotal="count" baseField="0"/>
    <dataField name="AVERAGE of Total_Orders" fld="5" subtotal="average" baseField="0"/>
    <dataField name="AVERAGE of Total_Spend_USD" fld="6" subtotal="average" baseField="0"/>
    <dataField name="AVERAGE of Returns_Count" fld="10" subtotal="average" baseField="0"/>
  </dataFields>
</pivotTableDefinition>
</file>

<file path=xl/pivotTables/pivotTable2.xml><?xml version="1.0" encoding="utf-8"?>
<pivotTableDefinition xmlns="http://schemas.openxmlformats.org/spreadsheetml/2006/main" name="Returns" cacheId="0" dataCaption="" compact="0" compactData="0">
  <location ref="A1:B9"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Home_Market" compact="0" outline="0" multipleItemSelectionAllowed="1" showAll="0">
      <items>
        <item x="0"/>
        <item x="1"/>
        <item x="2"/>
        <item x="3"/>
        <item x="4"/>
        <item x="5"/>
        <item x="6"/>
        <item x="7"/>
        <item x="8"/>
        <item x="9"/>
        <item x="10"/>
        <item x="11"/>
        <item t="default"/>
      </items>
    </pivotField>
    <pivotField name="Acquisition_Channel"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La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Total_Orders" compact="0" outline="0" multipleItemSelectionAllowed="1" showAll="0">
      <items>
        <item x="0"/>
        <item x="1"/>
        <item x="2"/>
        <item x="3"/>
        <item x="4"/>
        <item x="5"/>
        <item x="6"/>
        <item x="7"/>
        <item t="default"/>
      </items>
    </pivotField>
    <pivotField name="Total_Spend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Avg_Order_Val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Days_Since_Last_Purch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mail_Subscribed" compact="0" outline="0" multipleItemSelectionAllowed="1" showAll="0">
      <items>
        <item x="0"/>
        <item x="1"/>
        <item t="default"/>
      </items>
    </pivotField>
    <pivotField name="Returns_Count" dataField="1" compact="0" outline="0" multipleItemSelectionAllowed="1" showAll="0">
      <items>
        <item x="0"/>
        <item x="1"/>
        <item x="2"/>
        <item t="default"/>
      </items>
    </pivotField>
  </pivotFields>
  <rowFields>
    <field x="2"/>
  </rowFields>
  <dataFields>
    <dataField name="AVERAGE of Returns_Count" fld="10" subtotal="average" baseField="0"/>
  </dataFields>
</pivotTableDefinition>
</file>

<file path=xl/pivotTables/pivotTable3.xml><?xml version="1.0" encoding="utf-8"?>
<pivotTableDefinition xmlns="http://schemas.openxmlformats.org/spreadsheetml/2006/main" name="Average Spend" cacheId="0" dataCaption="" compact="0" compactData="0">
  <location ref="A1:B9"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Home_Market" compact="0" outline="0" multipleItemSelectionAllowed="1" showAll="0">
      <items>
        <item x="0"/>
        <item x="1"/>
        <item x="2"/>
        <item x="3"/>
        <item x="4"/>
        <item x="5"/>
        <item x="6"/>
        <item x="7"/>
        <item x="8"/>
        <item x="9"/>
        <item x="10"/>
        <item x="11"/>
        <item t="default"/>
      </items>
    </pivotField>
    <pivotField name="Acquisition_Channel"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La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Total_Orders" compact="0" outline="0" multipleItemSelectionAllowed="1" showAll="0">
      <items>
        <item x="0"/>
        <item x="1"/>
        <item x="2"/>
        <item x="3"/>
        <item x="4"/>
        <item x="5"/>
        <item x="6"/>
        <item x="7"/>
        <item t="default"/>
      </items>
    </pivotField>
    <pivotField name="Total_Spend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Avg_Order_Val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Days_Since_Last_Purch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mail_Subscribed" compact="0" outline="0" multipleItemSelectionAllowed="1" showAll="0">
      <items>
        <item x="0"/>
        <item x="1"/>
        <item t="default"/>
      </items>
    </pivotField>
    <pivotField name="Returns_Count" compact="0" outline="0" multipleItemSelectionAllowed="1" showAll="0">
      <items>
        <item x="0"/>
        <item x="1"/>
        <item x="2"/>
        <item t="default"/>
      </items>
    </pivotField>
  </pivotFields>
  <rowFields>
    <field x="2"/>
  </rowFields>
  <dataFields>
    <dataField name="SUM of Total_Spend_USD" fld="6" baseField="0"/>
  </dataFields>
</pivotTableDefinition>
</file>

<file path=xl/pivotTables/pivotTable4.xml><?xml version="1.0" encoding="utf-8"?>
<pivotTableDefinition xmlns="http://schemas.openxmlformats.org/spreadsheetml/2006/main" name="Repeat Customers" cacheId="0" dataCaption="" compact="0" compactData="0">
  <location ref="A1:B9" firstHeaderRow="0" firstDataRow="1" firstDataCol="0"/>
  <pivotFields>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Home_Market" compact="0" outline="0" multipleItemSelectionAllowed="1" showAll="0">
      <items>
        <item x="0"/>
        <item x="1"/>
        <item x="2"/>
        <item x="3"/>
        <item x="4"/>
        <item x="5"/>
        <item x="6"/>
        <item x="7"/>
        <item x="8"/>
        <item x="9"/>
        <item x="10"/>
        <item x="11"/>
        <item t="default"/>
      </items>
    </pivotField>
    <pivotField name="Acquisition_Channel"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La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Total_Orders" dataField="1" compact="0" outline="0" multipleItemSelectionAllowed="1" showAll="0">
      <items>
        <item x="0"/>
        <item x="1"/>
        <item x="2"/>
        <item x="3"/>
        <item x="4"/>
        <item x="5"/>
        <item x="6"/>
        <item x="7"/>
        <item t="default"/>
      </items>
    </pivotField>
    <pivotField name="Total_Spend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Avg_Order_Val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Days_Since_Last_Purch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mail_Subscribed" compact="0" outline="0" multipleItemSelectionAllowed="1" showAll="0">
      <items>
        <item x="0"/>
        <item x="1"/>
        <item t="default"/>
      </items>
    </pivotField>
    <pivotField name="Returns_Count" compact="0" outline="0" multipleItemSelectionAllowed="1" showAll="0">
      <items>
        <item x="0"/>
        <item x="1"/>
        <item x="2"/>
        <item t="default"/>
      </items>
    </pivotField>
  </pivotFields>
  <rowFields>
    <field x="2"/>
  </rowFields>
  <dataFields>
    <dataField name="AVERAGE of Total_Orders" fld="5" subtotal="average" baseField="0"/>
  </dataFields>
</pivotTableDefinition>
</file>

<file path=xl/pivotTables/pivotTable5.xml><?xml version="1.0" encoding="utf-8"?>
<pivotTableDefinition xmlns="http://schemas.openxmlformats.org/spreadsheetml/2006/main" name="Customer Count by Channel" cacheId="0" dataCaption="" compact="0" compactData="0">
  <location ref="A1:B9" firstHeaderRow="0" firstDataRow="1" firstDataCol="0"/>
  <pivotFields>
    <pivotField name="Custom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Home_Market" compact="0" outline="0" multipleItemSelectionAllowed="1" showAll="0">
      <items>
        <item x="0"/>
        <item x="1"/>
        <item x="2"/>
        <item x="3"/>
        <item x="4"/>
        <item x="5"/>
        <item x="6"/>
        <item x="7"/>
        <item x="8"/>
        <item x="9"/>
        <item x="10"/>
        <item x="11"/>
        <item t="default"/>
      </items>
    </pivotField>
    <pivotField name="Acquisition_Channel"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Fir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Last_Purcha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Total_Orders" compact="0" outline="0" multipleItemSelectionAllowed="1" showAll="0">
      <items>
        <item x="0"/>
        <item x="1"/>
        <item x="2"/>
        <item x="3"/>
        <item x="4"/>
        <item x="5"/>
        <item x="6"/>
        <item x="7"/>
        <item t="default"/>
      </items>
    </pivotField>
    <pivotField name="Total_Spend_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Avg_Order_Val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name="Days_Since_Last_Purch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Email_Subscribed" compact="0" outline="0" multipleItemSelectionAllowed="1" showAll="0">
      <items>
        <item x="0"/>
        <item x="1"/>
        <item t="default"/>
      </items>
    </pivotField>
    <pivotField name="Returns_Count" compact="0" outline="0" multipleItemSelectionAllowed="1" showAll="0">
      <items>
        <item x="0"/>
        <item x="1"/>
        <item x="2"/>
        <item t="default"/>
      </items>
    </pivotField>
  </pivotFields>
  <rowFields>
    <field x="2"/>
  </rowFields>
  <dataFields>
    <dataField name="COUNTA of Customer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3">
        <v>46139.0</v>
      </c>
      <c r="E2" s="3">
        <v>46217.0</v>
      </c>
      <c r="F2" s="1">
        <v>8.0</v>
      </c>
      <c r="G2" s="1">
        <v>776.32</v>
      </c>
      <c r="H2" s="1">
        <v>97.04</v>
      </c>
      <c r="I2" s="1">
        <v>0.0</v>
      </c>
      <c r="J2" s="1" t="s">
        <v>14</v>
      </c>
      <c r="K2" s="1">
        <v>2.0</v>
      </c>
    </row>
    <row r="3">
      <c r="A3" s="1" t="s">
        <v>15</v>
      </c>
      <c r="B3" s="1" t="s">
        <v>16</v>
      </c>
      <c r="C3" s="1" t="s">
        <v>13</v>
      </c>
      <c r="D3" s="3">
        <v>45859.0</v>
      </c>
      <c r="E3" s="3">
        <v>45859.0</v>
      </c>
      <c r="F3" s="1">
        <v>1.0</v>
      </c>
      <c r="G3" s="1">
        <v>155.28</v>
      </c>
      <c r="H3" s="1">
        <v>155.28</v>
      </c>
      <c r="I3" s="1">
        <v>358.0</v>
      </c>
      <c r="J3" s="1" t="s">
        <v>17</v>
      </c>
      <c r="K3" s="1">
        <v>2.0</v>
      </c>
    </row>
    <row r="4">
      <c r="A4" s="1" t="s">
        <v>18</v>
      </c>
      <c r="B4" s="1" t="s">
        <v>19</v>
      </c>
      <c r="C4" s="1" t="s">
        <v>13</v>
      </c>
      <c r="D4" s="3">
        <v>46172.0</v>
      </c>
      <c r="E4" s="3">
        <v>46172.0</v>
      </c>
      <c r="F4" s="1">
        <v>1.0</v>
      </c>
      <c r="G4" s="1">
        <v>92.65</v>
      </c>
      <c r="H4" s="1">
        <v>92.65</v>
      </c>
      <c r="I4" s="1">
        <v>45.0</v>
      </c>
      <c r="J4" s="1" t="s">
        <v>17</v>
      </c>
      <c r="K4" s="1">
        <v>1.0</v>
      </c>
    </row>
    <row r="5">
      <c r="A5" s="1" t="s">
        <v>20</v>
      </c>
      <c r="B5" s="1" t="s">
        <v>12</v>
      </c>
      <c r="C5" s="1" t="s">
        <v>13</v>
      </c>
      <c r="D5" s="3">
        <v>45873.0</v>
      </c>
      <c r="E5" s="3">
        <v>45873.0</v>
      </c>
      <c r="F5" s="1">
        <v>1.0</v>
      </c>
      <c r="G5" s="1">
        <v>97.3</v>
      </c>
      <c r="H5" s="1">
        <v>97.3</v>
      </c>
      <c r="I5" s="1">
        <v>344.0</v>
      </c>
      <c r="J5" s="1" t="s">
        <v>14</v>
      </c>
      <c r="K5" s="1">
        <v>1.0</v>
      </c>
    </row>
    <row r="6">
      <c r="A6" s="1" t="s">
        <v>21</v>
      </c>
      <c r="B6" s="1" t="s">
        <v>22</v>
      </c>
      <c r="C6" s="1" t="s">
        <v>13</v>
      </c>
      <c r="D6" s="3">
        <v>45709.0</v>
      </c>
      <c r="E6" s="3">
        <v>45709.0</v>
      </c>
      <c r="F6" s="1">
        <v>1.0</v>
      </c>
      <c r="G6" s="1">
        <v>92.38</v>
      </c>
      <c r="H6" s="1">
        <v>92.38</v>
      </c>
      <c r="I6" s="1">
        <v>508.0</v>
      </c>
      <c r="J6" s="1" t="s">
        <v>17</v>
      </c>
      <c r="K6" s="1">
        <v>1.0</v>
      </c>
    </row>
    <row r="7">
      <c r="A7" s="1" t="s">
        <v>23</v>
      </c>
      <c r="B7" s="1" t="s">
        <v>24</v>
      </c>
      <c r="C7" s="1" t="s">
        <v>13</v>
      </c>
      <c r="D7" s="3">
        <v>45981.0</v>
      </c>
      <c r="E7" s="3">
        <v>45981.0</v>
      </c>
      <c r="F7" s="1">
        <v>1.0</v>
      </c>
      <c r="G7" s="1">
        <v>91.6</v>
      </c>
      <c r="H7" s="1">
        <v>91.6</v>
      </c>
      <c r="I7" s="1">
        <v>236.0</v>
      </c>
      <c r="J7" s="1" t="s">
        <v>17</v>
      </c>
      <c r="K7" s="1">
        <v>1.0</v>
      </c>
    </row>
    <row r="8">
      <c r="A8" s="1" t="s">
        <v>25</v>
      </c>
      <c r="B8" s="1" t="s">
        <v>19</v>
      </c>
      <c r="C8" s="1" t="s">
        <v>13</v>
      </c>
      <c r="D8" s="3">
        <v>46145.0</v>
      </c>
      <c r="E8" s="3">
        <v>46145.0</v>
      </c>
      <c r="F8" s="1">
        <v>1.0</v>
      </c>
      <c r="G8" s="1">
        <v>133.13</v>
      </c>
      <c r="H8" s="1">
        <v>133.13</v>
      </c>
      <c r="I8" s="1">
        <v>72.0</v>
      </c>
      <c r="J8" s="1" t="s">
        <v>17</v>
      </c>
      <c r="K8" s="1">
        <v>1.0</v>
      </c>
    </row>
    <row r="9">
      <c r="A9" s="1" t="s">
        <v>26</v>
      </c>
      <c r="B9" s="1" t="s">
        <v>27</v>
      </c>
      <c r="C9" s="1" t="s">
        <v>13</v>
      </c>
      <c r="D9" s="3">
        <v>45537.0</v>
      </c>
      <c r="E9" s="3">
        <v>45537.0</v>
      </c>
      <c r="F9" s="1">
        <v>1.0</v>
      </c>
      <c r="G9" s="1">
        <v>92.04</v>
      </c>
      <c r="H9" s="1">
        <v>92.04</v>
      </c>
      <c r="I9" s="1">
        <v>680.0</v>
      </c>
      <c r="J9" s="1" t="s">
        <v>17</v>
      </c>
      <c r="K9" s="1">
        <v>1.0</v>
      </c>
    </row>
    <row r="10">
      <c r="A10" s="1" t="s">
        <v>28</v>
      </c>
      <c r="B10" s="1" t="s">
        <v>29</v>
      </c>
      <c r="C10" s="1" t="s">
        <v>13</v>
      </c>
      <c r="D10" s="3">
        <v>46170.0</v>
      </c>
      <c r="E10" s="3">
        <v>46217.0</v>
      </c>
      <c r="F10" s="1">
        <v>3.0</v>
      </c>
      <c r="G10" s="1">
        <v>405.69</v>
      </c>
      <c r="H10" s="1">
        <v>135.23</v>
      </c>
      <c r="I10" s="1">
        <v>0.0</v>
      </c>
      <c r="J10" s="1" t="s">
        <v>14</v>
      </c>
      <c r="K10" s="1">
        <v>1.0</v>
      </c>
    </row>
    <row r="11">
      <c r="A11" s="1" t="s">
        <v>30</v>
      </c>
      <c r="B11" s="1" t="s">
        <v>31</v>
      </c>
      <c r="C11" s="1" t="s">
        <v>13</v>
      </c>
      <c r="D11" s="3">
        <v>45812.0</v>
      </c>
      <c r="E11" s="3">
        <v>46217.0</v>
      </c>
      <c r="F11" s="1">
        <v>4.0</v>
      </c>
      <c r="G11" s="1">
        <v>581.16</v>
      </c>
      <c r="H11" s="1">
        <v>145.29</v>
      </c>
      <c r="I11" s="1">
        <v>0.0</v>
      </c>
      <c r="J11" s="1" t="s">
        <v>17</v>
      </c>
      <c r="K11" s="1">
        <v>1.0</v>
      </c>
    </row>
    <row r="12">
      <c r="A12" s="1" t="s">
        <v>32</v>
      </c>
      <c r="B12" s="1" t="s">
        <v>12</v>
      </c>
      <c r="C12" s="1" t="s">
        <v>13</v>
      </c>
      <c r="D12" s="3">
        <v>45480.0</v>
      </c>
      <c r="E12" s="3">
        <v>45480.0</v>
      </c>
      <c r="F12" s="1">
        <v>1.0</v>
      </c>
      <c r="G12" s="1">
        <v>155.36</v>
      </c>
      <c r="H12" s="1">
        <v>155.36</v>
      </c>
      <c r="I12" s="1">
        <v>737.0</v>
      </c>
      <c r="J12" s="1" t="s">
        <v>17</v>
      </c>
      <c r="K12" s="1">
        <v>1.0</v>
      </c>
    </row>
    <row r="13">
      <c r="A13" s="1" t="s">
        <v>33</v>
      </c>
      <c r="B13" s="1" t="s">
        <v>34</v>
      </c>
      <c r="C13" s="1" t="s">
        <v>13</v>
      </c>
      <c r="D13" s="3">
        <v>45644.0</v>
      </c>
      <c r="E13" s="3">
        <v>45993.0</v>
      </c>
      <c r="F13" s="1">
        <v>4.0</v>
      </c>
      <c r="G13" s="1">
        <v>208.72</v>
      </c>
      <c r="H13" s="1">
        <v>52.18</v>
      </c>
      <c r="I13" s="1">
        <v>224.0</v>
      </c>
      <c r="J13" s="1" t="s">
        <v>17</v>
      </c>
      <c r="K13" s="1">
        <v>1.0</v>
      </c>
    </row>
    <row r="14">
      <c r="A14" s="1" t="s">
        <v>35</v>
      </c>
      <c r="B14" s="1" t="s">
        <v>36</v>
      </c>
      <c r="C14" s="1" t="s">
        <v>13</v>
      </c>
      <c r="D14" s="3">
        <v>45795.0</v>
      </c>
      <c r="E14" s="3">
        <v>45795.0</v>
      </c>
      <c r="F14" s="1">
        <v>1.0</v>
      </c>
      <c r="G14" s="1">
        <v>108.77</v>
      </c>
      <c r="H14" s="1">
        <v>108.77</v>
      </c>
      <c r="I14" s="1">
        <v>422.0</v>
      </c>
      <c r="J14" s="1" t="s">
        <v>17</v>
      </c>
      <c r="K14" s="1">
        <v>1.0</v>
      </c>
    </row>
    <row r="15">
      <c r="A15" s="1" t="s">
        <v>37</v>
      </c>
      <c r="B15" s="1" t="s">
        <v>24</v>
      </c>
      <c r="C15" s="1" t="s">
        <v>13</v>
      </c>
      <c r="D15" s="3">
        <v>46152.0</v>
      </c>
      <c r="E15" s="3">
        <v>46152.0</v>
      </c>
      <c r="F15" s="1">
        <v>1.0</v>
      </c>
      <c r="G15" s="1">
        <v>153.84</v>
      </c>
      <c r="H15" s="1">
        <v>153.84</v>
      </c>
      <c r="I15" s="1">
        <v>65.0</v>
      </c>
      <c r="J15" s="1" t="s">
        <v>14</v>
      </c>
      <c r="K15" s="1">
        <v>0.0</v>
      </c>
    </row>
    <row r="16">
      <c r="A16" s="1" t="s">
        <v>38</v>
      </c>
      <c r="B16" s="1" t="s">
        <v>16</v>
      </c>
      <c r="C16" s="1" t="s">
        <v>13</v>
      </c>
      <c r="D16" s="3">
        <v>45648.0</v>
      </c>
      <c r="E16" s="3">
        <v>45648.0</v>
      </c>
      <c r="F16" s="1">
        <v>1.0</v>
      </c>
      <c r="G16" s="1">
        <v>92.82</v>
      </c>
      <c r="H16" s="1">
        <v>92.82</v>
      </c>
      <c r="I16" s="1">
        <v>569.0</v>
      </c>
      <c r="J16" s="1" t="s">
        <v>17</v>
      </c>
      <c r="K16" s="1">
        <v>0.0</v>
      </c>
    </row>
    <row r="17">
      <c r="A17" s="1" t="s">
        <v>39</v>
      </c>
      <c r="B17" s="1" t="s">
        <v>24</v>
      </c>
      <c r="C17" s="1" t="s">
        <v>13</v>
      </c>
      <c r="D17" s="3">
        <v>45549.0</v>
      </c>
      <c r="E17" s="3">
        <v>45982.0</v>
      </c>
      <c r="F17" s="1">
        <v>7.0</v>
      </c>
      <c r="G17" s="1">
        <v>730.1</v>
      </c>
      <c r="H17" s="1">
        <v>104.3</v>
      </c>
      <c r="I17" s="1">
        <v>235.0</v>
      </c>
      <c r="J17" s="1" t="s">
        <v>17</v>
      </c>
      <c r="K17" s="1">
        <v>0.0</v>
      </c>
    </row>
    <row r="18">
      <c r="A18" s="1" t="s">
        <v>41</v>
      </c>
      <c r="B18" s="1" t="s">
        <v>34</v>
      </c>
      <c r="C18" s="1" t="s">
        <v>13</v>
      </c>
      <c r="D18" s="3">
        <v>45903.0</v>
      </c>
      <c r="E18" s="3">
        <v>46081.0</v>
      </c>
      <c r="F18" s="1">
        <v>8.0</v>
      </c>
      <c r="G18" s="1">
        <v>912.24</v>
      </c>
      <c r="H18" s="1">
        <v>114.03</v>
      </c>
      <c r="I18" s="1">
        <v>136.0</v>
      </c>
      <c r="J18" s="1" t="s">
        <v>14</v>
      </c>
      <c r="K18" s="1">
        <v>0.0</v>
      </c>
    </row>
    <row r="19">
      <c r="A19" s="1" t="s">
        <v>42</v>
      </c>
      <c r="B19" s="1" t="s">
        <v>16</v>
      </c>
      <c r="C19" s="1" t="s">
        <v>13</v>
      </c>
      <c r="D19" s="3">
        <v>45499.0</v>
      </c>
      <c r="E19" s="3">
        <v>45825.0</v>
      </c>
      <c r="F19" s="1">
        <v>7.0</v>
      </c>
      <c r="G19" s="1">
        <v>982.1</v>
      </c>
      <c r="H19" s="1">
        <v>140.3</v>
      </c>
      <c r="I19" s="1">
        <v>392.0</v>
      </c>
      <c r="J19" s="1" t="s">
        <v>14</v>
      </c>
      <c r="K19" s="1">
        <v>0.0</v>
      </c>
    </row>
    <row r="20">
      <c r="A20" s="1" t="s">
        <v>45</v>
      </c>
      <c r="B20" s="1" t="s">
        <v>29</v>
      </c>
      <c r="C20" s="1" t="s">
        <v>13</v>
      </c>
      <c r="D20" s="3">
        <v>46070.0</v>
      </c>
      <c r="E20" s="3">
        <v>46217.0</v>
      </c>
      <c r="F20" s="1">
        <v>7.0</v>
      </c>
      <c r="G20" s="1">
        <v>757.05</v>
      </c>
      <c r="H20" s="1">
        <v>108.15</v>
      </c>
      <c r="I20" s="1">
        <v>0.0</v>
      </c>
      <c r="J20" s="1" t="s">
        <v>17</v>
      </c>
      <c r="K20" s="1">
        <v>0.0</v>
      </c>
    </row>
    <row r="21">
      <c r="A21" s="1" t="s">
        <v>47</v>
      </c>
      <c r="B21" s="1" t="s">
        <v>19</v>
      </c>
      <c r="C21" s="1" t="s">
        <v>13</v>
      </c>
      <c r="D21" s="3">
        <v>45583.0</v>
      </c>
      <c r="E21" s="3">
        <v>45691.0</v>
      </c>
      <c r="F21" s="1">
        <v>7.0</v>
      </c>
      <c r="G21" s="1">
        <v>666.89</v>
      </c>
      <c r="H21" s="1">
        <v>95.27</v>
      </c>
      <c r="I21" s="1">
        <v>526.0</v>
      </c>
      <c r="J21" s="1" t="s">
        <v>17</v>
      </c>
      <c r="K21" s="1">
        <v>0.0</v>
      </c>
    </row>
    <row r="22">
      <c r="A22" s="1" t="s">
        <v>48</v>
      </c>
      <c r="B22" s="1" t="s">
        <v>27</v>
      </c>
      <c r="C22" s="1" t="s">
        <v>13</v>
      </c>
      <c r="D22" s="3">
        <v>45487.0</v>
      </c>
      <c r="E22" s="3">
        <v>45673.0</v>
      </c>
      <c r="F22" s="1">
        <v>8.0</v>
      </c>
      <c r="G22" s="1">
        <v>1018.16</v>
      </c>
      <c r="H22" s="1">
        <v>127.27</v>
      </c>
      <c r="I22" s="1">
        <v>544.0</v>
      </c>
      <c r="J22" s="1" t="s">
        <v>17</v>
      </c>
      <c r="K22" s="1">
        <v>0.0</v>
      </c>
    </row>
    <row r="23">
      <c r="A23" s="1" t="s">
        <v>50</v>
      </c>
      <c r="B23" s="1" t="s">
        <v>19</v>
      </c>
      <c r="C23" s="1" t="s">
        <v>13</v>
      </c>
      <c r="D23" s="3">
        <v>45927.0</v>
      </c>
      <c r="E23" s="3">
        <v>46025.0</v>
      </c>
      <c r="F23" s="1">
        <v>7.0</v>
      </c>
      <c r="G23" s="1">
        <v>648.34</v>
      </c>
      <c r="H23" s="1">
        <v>92.62</v>
      </c>
      <c r="I23" s="1">
        <v>192.0</v>
      </c>
      <c r="J23" s="1" t="s">
        <v>17</v>
      </c>
      <c r="K23" s="1">
        <v>0.0</v>
      </c>
    </row>
    <row r="24">
      <c r="A24" s="1" t="s">
        <v>51</v>
      </c>
      <c r="B24" s="1" t="s">
        <v>27</v>
      </c>
      <c r="C24" s="1" t="s">
        <v>13</v>
      </c>
      <c r="D24" s="3">
        <v>45889.0</v>
      </c>
      <c r="E24" s="3">
        <v>46217.0</v>
      </c>
      <c r="F24" s="1">
        <v>7.0</v>
      </c>
      <c r="G24" s="1">
        <v>580.3</v>
      </c>
      <c r="H24" s="1">
        <v>82.9</v>
      </c>
      <c r="I24" s="1">
        <v>0.0</v>
      </c>
      <c r="J24" s="1" t="s">
        <v>14</v>
      </c>
      <c r="K24" s="1">
        <v>0.0</v>
      </c>
    </row>
    <row r="25">
      <c r="A25" s="1" t="s">
        <v>52</v>
      </c>
      <c r="B25" s="1" t="s">
        <v>16</v>
      </c>
      <c r="C25" s="1" t="s">
        <v>13</v>
      </c>
      <c r="D25" s="3">
        <v>45710.0</v>
      </c>
      <c r="E25" s="3">
        <v>45777.0</v>
      </c>
      <c r="F25" s="1">
        <v>7.0</v>
      </c>
      <c r="G25" s="1">
        <v>548.87</v>
      </c>
      <c r="H25" s="1">
        <v>78.41</v>
      </c>
      <c r="I25" s="1">
        <v>440.0</v>
      </c>
      <c r="J25" s="1" t="s">
        <v>14</v>
      </c>
      <c r="K25" s="1">
        <v>0.0</v>
      </c>
    </row>
    <row r="26">
      <c r="A26" s="1" t="s">
        <v>53</v>
      </c>
      <c r="B26" s="1" t="s">
        <v>19</v>
      </c>
      <c r="C26" s="1" t="s">
        <v>13</v>
      </c>
      <c r="D26" s="3">
        <v>45770.0</v>
      </c>
      <c r="E26" s="3">
        <v>45897.0</v>
      </c>
      <c r="F26" s="1">
        <v>5.0</v>
      </c>
      <c r="G26" s="1">
        <v>688.4</v>
      </c>
      <c r="H26" s="1">
        <v>137.68</v>
      </c>
      <c r="I26" s="1">
        <v>320.0</v>
      </c>
      <c r="J26" s="1" t="s">
        <v>17</v>
      </c>
      <c r="K26" s="1">
        <v>0.0</v>
      </c>
    </row>
    <row r="27">
      <c r="A27" s="1" t="s">
        <v>54</v>
      </c>
      <c r="B27" s="1" t="s">
        <v>19</v>
      </c>
      <c r="C27" s="1" t="s">
        <v>13</v>
      </c>
      <c r="D27" s="3">
        <v>45724.0</v>
      </c>
      <c r="E27" s="3">
        <v>45724.0</v>
      </c>
      <c r="F27" s="1">
        <v>1.0</v>
      </c>
      <c r="G27" s="1">
        <v>111.34</v>
      </c>
      <c r="H27" s="1">
        <v>111.34</v>
      </c>
      <c r="I27" s="1">
        <v>493.0</v>
      </c>
      <c r="J27" s="1" t="s">
        <v>17</v>
      </c>
      <c r="K27" s="1">
        <v>0.0</v>
      </c>
    </row>
    <row r="28">
      <c r="A28" s="1" t="s">
        <v>55</v>
      </c>
      <c r="B28" s="1" t="s">
        <v>12</v>
      </c>
      <c r="C28" s="1" t="s">
        <v>13</v>
      </c>
      <c r="D28" s="3">
        <v>45825.0</v>
      </c>
      <c r="E28" s="3">
        <v>46090.0</v>
      </c>
      <c r="F28" s="1">
        <v>4.0</v>
      </c>
      <c r="G28" s="1">
        <v>280.64</v>
      </c>
      <c r="H28" s="1">
        <v>70.16</v>
      </c>
      <c r="I28" s="1">
        <v>127.0</v>
      </c>
      <c r="J28" s="1" t="s">
        <v>14</v>
      </c>
      <c r="K28" s="1">
        <v>0.0</v>
      </c>
    </row>
    <row r="29">
      <c r="A29" s="1" t="s">
        <v>56</v>
      </c>
      <c r="B29" s="1" t="s">
        <v>12</v>
      </c>
      <c r="C29" s="1" t="s">
        <v>13</v>
      </c>
      <c r="D29" s="3">
        <v>46174.0</v>
      </c>
      <c r="E29" s="3">
        <v>46174.0</v>
      </c>
      <c r="F29" s="1">
        <v>1.0</v>
      </c>
      <c r="G29" s="1">
        <v>116.22</v>
      </c>
      <c r="H29" s="1">
        <v>116.22</v>
      </c>
      <c r="I29" s="1">
        <v>43.0</v>
      </c>
      <c r="J29" s="1" t="s">
        <v>17</v>
      </c>
      <c r="K29" s="1">
        <v>0.0</v>
      </c>
    </row>
    <row r="30">
      <c r="A30" s="1" t="s">
        <v>57</v>
      </c>
      <c r="B30" s="1" t="s">
        <v>22</v>
      </c>
      <c r="C30" s="1" t="s">
        <v>58</v>
      </c>
      <c r="D30" s="3">
        <v>45992.0</v>
      </c>
      <c r="E30" s="3">
        <v>45992.0</v>
      </c>
      <c r="F30" s="1">
        <v>1.0</v>
      </c>
      <c r="G30" s="1">
        <v>46.08</v>
      </c>
      <c r="H30" s="1">
        <v>46.08</v>
      </c>
      <c r="I30" s="1">
        <v>225.0</v>
      </c>
      <c r="J30" s="1" t="s">
        <v>14</v>
      </c>
      <c r="K30" s="1">
        <v>2.0</v>
      </c>
    </row>
    <row r="31">
      <c r="A31" s="1" t="s">
        <v>59</v>
      </c>
      <c r="B31" s="1" t="s">
        <v>31</v>
      </c>
      <c r="C31" s="1" t="s">
        <v>58</v>
      </c>
      <c r="D31" s="3">
        <v>46088.0</v>
      </c>
      <c r="E31" s="3">
        <v>46088.0</v>
      </c>
      <c r="F31" s="1">
        <v>1.0</v>
      </c>
      <c r="G31" s="1">
        <v>87.32</v>
      </c>
      <c r="H31" s="1">
        <v>87.32</v>
      </c>
      <c r="I31" s="1">
        <v>129.0</v>
      </c>
      <c r="J31" s="1" t="s">
        <v>14</v>
      </c>
      <c r="K31" s="1">
        <v>2.0</v>
      </c>
    </row>
    <row r="32">
      <c r="A32" s="1" t="s">
        <v>60</v>
      </c>
      <c r="B32" s="1" t="s">
        <v>31</v>
      </c>
      <c r="C32" s="1" t="s">
        <v>58</v>
      </c>
      <c r="D32" s="3">
        <v>45927.0</v>
      </c>
      <c r="E32" s="3">
        <v>45927.0</v>
      </c>
      <c r="F32" s="1">
        <v>1.0</v>
      </c>
      <c r="G32" s="1">
        <v>91.54</v>
      </c>
      <c r="H32" s="1">
        <v>91.54</v>
      </c>
      <c r="I32" s="1">
        <v>290.0</v>
      </c>
      <c r="J32" s="1" t="s">
        <v>17</v>
      </c>
      <c r="K32" s="1">
        <v>2.0</v>
      </c>
    </row>
    <row r="33">
      <c r="A33" s="1" t="s">
        <v>61</v>
      </c>
      <c r="B33" s="1" t="s">
        <v>12</v>
      </c>
      <c r="C33" s="1" t="s">
        <v>58</v>
      </c>
      <c r="D33" s="3">
        <v>45810.0</v>
      </c>
      <c r="E33" s="3">
        <v>45810.0</v>
      </c>
      <c r="F33" s="1">
        <v>1.0</v>
      </c>
      <c r="G33" s="1">
        <v>78.46</v>
      </c>
      <c r="H33" s="1">
        <v>78.46</v>
      </c>
      <c r="I33" s="1">
        <v>407.0</v>
      </c>
      <c r="J33" s="1" t="s">
        <v>17</v>
      </c>
      <c r="K33" s="1">
        <v>1.0</v>
      </c>
    </row>
    <row r="34">
      <c r="A34" s="1" t="s">
        <v>62</v>
      </c>
      <c r="B34" s="1" t="s">
        <v>12</v>
      </c>
      <c r="C34" s="1" t="s">
        <v>58</v>
      </c>
      <c r="D34" s="3">
        <v>45942.0</v>
      </c>
      <c r="E34" s="3">
        <v>45942.0</v>
      </c>
      <c r="F34" s="1">
        <v>1.0</v>
      </c>
      <c r="G34" s="1">
        <v>77.11</v>
      </c>
      <c r="H34" s="1">
        <v>77.11</v>
      </c>
      <c r="I34" s="1">
        <v>275.0</v>
      </c>
      <c r="J34" s="1" t="s">
        <v>17</v>
      </c>
      <c r="K34" s="1">
        <v>1.0</v>
      </c>
    </row>
    <row r="35">
      <c r="A35" s="1" t="s">
        <v>63</v>
      </c>
      <c r="B35" s="1" t="s">
        <v>22</v>
      </c>
      <c r="C35" s="1" t="s">
        <v>58</v>
      </c>
      <c r="D35" s="3">
        <v>45616.0</v>
      </c>
      <c r="E35" s="3">
        <v>45616.0</v>
      </c>
      <c r="F35" s="1">
        <v>1.0</v>
      </c>
      <c r="G35" s="1">
        <v>104.5</v>
      </c>
      <c r="H35" s="1">
        <v>104.5</v>
      </c>
      <c r="I35" s="1">
        <v>601.0</v>
      </c>
      <c r="J35" s="1" t="s">
        <v>17</v>
      </c>
      <c r="K35" s="1">
        <v>1.0</v>
      </c>
    </row>
    <row r="36">
      <c r="A36" s="1" t="s">
        <v>64</v>
      </c>
      <c r="B36" s="1" t="s">
        <v>31</v>
      </c>
      <c r="C36" s="1" t="s">
        <v>58</v>
      </c>
      <c r="D36" s="3">
        <v>45514.0</v>
      </c>
      <c r="E36" s="3">
        <v>45514.0</v>
      </c>
      <c r="F36" s="1">
        <v>1.0</v>
      </c>
      <c r="G36" s="1">
        <v>88.68</v>
      </c>
      <c r="H36" s="1">
        <v>88.68</v>
      </c>
      <c r="I36" s="1">
        <v>703.0</v>
      </c>
      <c r="J36" s="1" t="s">
        <v>14</v>
      </c>
      <c r="K36" s="1">
        <v>1.0</v>
      </c>
    </row>
    <row r="37">
      <c r="A37" s="1" t="s">
        <v>65</v>
      </c>
      <c r="B37" s="1" t="s">
        <v>34</v>
      </c>
      <c r="C37" s="1" t="s">
        <v>58</v>
      </c>
      <c r="D37" s="3">
        <v>45544.0</v>
      </c>
      <c r="E37" s="3">
        <v>45909.0</v>
      </c>
      <c r="F37" s="1">
        <v>7.0</v>
      </c>
      <c r="G37" s="1">
        <v>454.86</v>
      </c>
      <c r="H37" s="1">
        <v>64.98</v>
      </c>
      <c r="I37" s="1">
        <v>308.0</v>
      </c>
      <c r="J37" s="1" t="s">
        <v>17</v>
      </c>
      <c r="K37" s="1">
        <v>1.0</v>
      </c>
    </row>
    <row r="38">
      <c r="A38" s="1" t="s">
        <v>66</v>
      </c>
      <c r="B38" s="1" t="s">
        <v>22</v>
      </c>
      <c r="C38" s="1" t="s">
        <v>58</v>
      </c>
      <c r="D38" s="3">
        <v>46036.0</v>
      </c>
      <c r="E38" s="3">
        <v>46036.0</v>
      </c>
      <c r="F38" s="1">
        <v>1.0</v>
      </c>
      <c r="G38" s="1">
        <v>60.28</v>
      </c>
      <c r="H38" s="1">
        <v>60.28</v>
      </c>
      <c r="I38" s="1">
        <v>181.0</v>
      </c>
      <c r="J38" s="1" t="s">
        <v>14</v>
      </c>
      <c r="K38" s="1">
        <v>1.0</v>
      </c>
    </row>
    <row r="39">
      <c r="A39" s="1" t="s">
        <v>67</v>
      </c>
      <c r="B39" s="1" t="s">
        <v>31</v>
      </c>
      <c r="C39" s="1" t="s">
        <v>58</v>
      </c>
      <c r="D39" s="3">
        <v>45728.0</v>
      </c>
      <c r="E39" s="3">
        <v>45728.0</v>
      </c>
      <c r="F39" s="1">
        <v>1.0</v>
      </c>
      <c r="G39" s="1">
        <v>70.25</v>
      </c>
      <c r="H39" s="1">
        <v>70.25</v>
      </c>
      <c r="I39" s="1">
        <v>489.0</v>
      </c>
      <c r="J39" s="1" t="s">
        <v>14</v>
      </c>
      <c r="K39" s="1">
        <v>1.0</v>
      </c>
    </row>
    <row r="40">
      <c r="A40" s="1" t="s">
        <v>68</v>
      </c>
      <c r="B40" s="1" t="s">
        <v>29</v>
      </c>
      <c r="C40" s="1" t="s">
        <v>58</v>
      </c>
      <c r="D40" s="3">
        <v>45506.0</v>
      </c>
      <c r="E40" s="3">
        <v>45506.0</v>
      </c>
      <c r="F40" s="1">
        <v>1.0</v>
      </c>
      <c r="G40" s="1">
        <v>63.63</v>
      </c>
      <c r="H40" s="1">
        <v>63.63</v>
      </c>
      <c r="I40" s="1">
        <v>711.0</v>
      </c>
      <c r="J40" s="1" t="s">
        <v>17</v>
      </c>
      <c r="K40" s="1">
        <v>1.0</v>
      </c>
    </row>
    <row r="41">
      <c r="A41" s="1" t="s">
        <v>69</v>
      </c>
      <c r="B41" s="1" t="s">
        <v>29</v>
      </c>
      <c r="C41" s="1" t="s">
        <v>58</v>
      </c>
      <c r="D41" s="3">
        <v>45487.0</v>
      </c>
      <c r="E41" s="3">
        <v>45906.0</v>
      </c>
      <c r="F41" s="1">
        <v>7.0</v>
      </c>
      <c r="G41" s="1">
        <v>629.16</v>
      </c>
      <c r="H41" s="1">
        <v>89.88</v>
      </c>
      <c r="I41" s="1">
        <v>311.0</v>
      </c>
      <c r="J41" s="1" t="s">
        <v>14</v>
      </c>
      <c r="K41" s="1">
        <v>1.0</v>
      </c>
    </row>
    <row r="42">
      <c r="A42" s="1" t="s">
        <v>70</v>
      </c>
      <c r="B42" s="1" t="s">
        <v>31</v>
      </c>
      <c r="C42" s="1" t="s">
        <v>58</v>
      </c>
      <c r="D42" s="3">
        <v>46097.0</v>
      </c>
      <c r="E42" s="3">
        <v>46217.0</v>
      </c>
      <c r="F42" s="1">
        <v>3.0</v>
      </c>
      <c r="G42" s="1">
        <v>268.74</v>
      </c>
      <c r="H42" s="1">
        <v>89.58</v>
      </c>
      <c r="I42" s="1">
        <v>0.0</v>
      </c>
      <c r="J42" s="1" t="s">
        <v>17</v>
      </c>
      <c r="K42" s="1">
        <v>1.0</v>
      </c>
    </row>
    <row r="43">
      <c r="A43" s="1" t="s">
        <v>71</v>
      </c>
      <c r="B43" s="1" t="s">
        <v>22</v>
      </c>
      <c r="C43" s="1" t="s">
        <v>58</v>
      </c>
      <c r="D43" s="3">
        <v>45918.0</v>
      </c>
      <c r="E43" s="3">
        <v>45918.0</v>
      </c>
      <c r="F43" s="1">
        <v>1.0</v>
      </c>
      <c r="G43" s="1">
        <v>64.74</v>
      </c>
      <c r="H43" s="1">
        <v>64.74</v>
      </c>
      <c r="I43" s="1">
        <v>299.0</v>
      </c>
      <c r="J43" s="1" t="s">
        <v>17</v>
      </c>
      <c r="K43" s="1">
        <v>1.0</v>
      </c>
    </row>
    <row r="44">
      <c r="A44" s="1" t="s">
        <v>72</v>
      </c>
      <c r="B44" s="1" t="s">
        <v>24</v>
      </c>
      <c r="C44" s="1" t="s">
        <v>58</v>
      </c>
      <c r="D44" s="3">
        <v>45763.0</v>
      </c>
      <c r="E44" s="3">
        <v>45763.0</v>
      </c>
      <c r="F44" s="1">
        <v>1.0</v>
      </c>
      <c r="G44" s="1">
        <v>59.53</v>
      </c>
      <c r="H44" s="1">
        <v>59.53</v>
      </c>
      <c r="I44" s="1">
        <v>454.0</v>
      </c>
      <c r="J44" s="1" t="s">
        <v>14</v>
      </c>
      <c r="K44" s="1">
        <v>1.0</v>
      </c>
    </row>
    <row r="45">
      <c r="A45" s="1" t="s">
        <v>73</v>
      </c>
      <c r="B45" s="1" t="s">
        <v>36</v>
      </c>
      <c r="C45" s="1" t="s">
        <v>58</v>
      </c>
      <c r="D45" s="3">
        <v>45482.0</v>
      </c>
      <c r="E45" s="3">
        <v>45482.0</v>
      </c>
      <c r="F45" s="1">
        <v>1.0</v>
      </c>
      <c r="G45" s="1">
        <v>90.54</v>
      </c>
      <c r="H45" s="1">
        <v>90.54</v>
      </c>
      <c r="I45" s="1">
        <v>735.0</v>
      </c>
      <c r="J45" s="1" t="s">
        <v>14</v>
      </c>
      <c r="K45" s="1">
        <v>1.0</v>
      </c>
    </row>
    <row r="46">
      <c r="A46" s="1" t="s">
        <v>74</v>
      </c>
      <c r="B46" s="1" t="s">
        <v>75</v>
      </c>
      <c r="C46" s="1" t="s">
        <v>58</v>
      </c>
      <c r="D46" s="3">
        <v>45789.0</v>
      </c>
      <c r="E46" s="3">
        <v>45789.0</v>
      </c>
      <c r="F46" s="1">
        <v>1.0</v>
      </c>
      <c r="G46" s="1">
        <v>99.8</v>
      </c>
      <c r="H46" s="1">
        <v>99.8</v>
      </c>
      <c r="I46" s="1">
        <v>428.0</v>
      </c>
      <c r="J46" s="1" t="s">
        <v>14</v>
      </c>
      <c r="K46" s="1">
        <v>1.0</v>
      </c>
    </row>
    <row r="47">
      <c r="A47" s="1" t="s">
        <v>76</v>
      </c>
      <c r="B47" s="1" t="s">
        <v>34</v>
      </c>
      <c r="C47" s="1" t="s">
        <v>58</v>
      </c>
      <c r="D47" s="3">
        <v>45947.0</v>
      </c>
      <c r="E47" s="3">
        <v>45947.0</v>
      </c>
      <c r="F47" s="1">
        <v>1.0</v>
      </c>
      <c r="G47" s="1">
        <v>117.64</v>
      </c>
      <c r="H47" s="1">
        <v>117.64</v>
      </c>
      <c r="I47" s="1">
        <v>270.0</v>
      </c>
      <c r="J47" s="1" t="s">
        <v>17</v>
      </c>
      <c r="K47" s="1">
        <v>1.0</v>
      </c>
    </row>
    <row r="48">
      <c r="A48" s="1" t="s">
        <v>77</v>
      </c>
      <c r="B48" s="1" t="s">
        <v>24</v>
      </c>
      <c r="C48" s="1" t="s">
        <v>58</v>
      </c>
      <c r="D48" s="3">
        <v>45515.0</v>
      </c>
      <c r="E48" s="3">
        <v>45515.0</v>
      </c>
      <c r="F48" s="1">
        <v>1.0</v>
      </c>
      <c r="G48" s="1">
        <v>91.29</v>
      </c>
      <c r="H48" s="1">
        <v>91.29</v>
      </c>
      <c r="I48" s="1">
        <v>702.0</v>
      </c>
      <c r="J48" s="1" t="s">
        <v>17</v>
      </c>
      <c r="K48" s="1">
        <v>1.0</v>
      </c>
    </row>
    <row r="49">
      <c r="A49" s="1" t="s">
        <v>78</v>
      </c>
      <c r="B49" s="1" t="s">
        <v>29</v>
      </c>
      <c r="C49" s="1" t="s">
        <v>58</v>
      </c>
      <c r="D49" s="3">
        <v>45594.0</v>
      </c>
      <c r="E49" s="3">
        <v>45594.0</v>
      </c>
      <c r="F49" s="1">
        <v>1.0</v>
      </c>
      <c r="G49" s="1">
        <v>63.75</v>
      </c>
      <c r="H49" s="1">
        <v>63.75</v>
      </c>
      <c r="I49" s="1">
        <v>623.0</v>
      </c>
      <c r="J49" s="1" t="s">
        <v>14</v>
      </c>
      <c r="K49" s="1">
        <v>1.0</v>
      </c>
    </row>
    <row r="50">
      <c r="A50" s="1" t="s">
        <v>79</v>
      </c>
      <c r="B50" s="1" t="s">
        <v>34</v>
      </c>
      <c r="C50" s="1" t="s">
        <v>58</v>
      </c>
      <c r="D50" s="3">
        <v>45581.0</v>
      </c>
      <c r="E50" s="3">
        <v>45581.0</v>
      </c>
      <c r="F50" s="1">
        <v>1.0</v>
      </c>
      <c r="G50" s="1">
        <v>101.76</v>
      </c>
      <c r="H50" s="1">
        <v>101.76</v>
      </c>
      <c r="I50" s="1">
        <v>636.0</v>
      </c>
      <c r="J50" s="1" t="s">
        <v>17</v>
      </c>
      <c r="K50" s="1">
        <v>0.0</v>
      </c>
    </row>
    <row r="51">
      <c r="A51" s="1" t="s">
        <v>80</v>
      </c>
      <c r="B51" s="1" t="s">
        <v>29</v>
      </c>
      <c r="C51" s="1" t="s">
        <v>58</v>
      </c>
      <c r="D51" s="3">
        <v>45947.0</v>
      </c>
      <c r="E51" s="3">
        <v>45947.0</v>
      </c>
      <c r="F51" s="1">
        <v>1.0</v>
      </c>
      <c r="G51" s="1">
        <v>96.26</v>
      </c>
      <c r="H51" s="1">
        <v>96.26</v>
      </c>
      <c r="I51" s="1">
        <v>270.0</v>
      </c>
      <c r="J51" s="1" t="s">
        <v>17</v>
      </c>
      <c r="K51" s="1">
        <v>0.0</v>
      </c>
    </row>
    <row r="52">
      <c r="A52" s="1" t="s">
        <v>81</v>
      </c>
      <c r="B52" s="1" t="s">
        <v>22</v>
      </c>
      <c r="C52" s="1" t="s">
        <v>58</v>
      </c>
      <c r="D52" s="3">
        <v>45537.0</v>
      </c>
      <c r="E52" s="3">
        <v>45537.0</v>
      </c>
      <c r="F52" s="1">
        <v>1.0</v>
      </c>
      <c r="G52" s="1">
        <v>93.28</v>
      </c>
      <c r="H52" s="1">
        <v>93.28</v>
      </c>
      <c r="I52" s="1">
        <v>680.0</v>
      </c>
      <c r="J52" s="1" t="s">
        <v>17</v>
      </c>
      <c r="K52" s="1">
        <v>0.0</v>
      </c>
    </row>
    <row r="53">
      <c r="A53" s="1" t="s">
        <v>82</v>
      </c>
      <c r="B53" s="1" t="s">
        <v>29</v>
      </c>
      <c r="C53" s="1" t="s">
        <v>58</v>
      </c>
      <c r="D53" s="3">
        <v>45510.0</v>
      </c>
      <c r="E53" s="3">
        <v>45510.0</v>
      </c>
      <c r="F53" s="1">
        <v>1.0</v>
      </c>
      <c r="G53" s="1">
        <v>43.86</v>
      </c>
      <c r="H53" s="1">
        <v>43.86</v>
      </c>
      <c r="I53" s="1">
        <v>707.0</v>
      </c>
      <c r="J53" s="1" t="s">
        <v>17</v>
      </c>
      <c r="K53" s="1">
        <v>0.0</v>
      </c>
    </row>
    <row r="54">
      <c r="A54" s="1" t="s">
        <v>83</v>
      </c>
      <c r="B54" s="1" t="s">
        <v>12</v>
      </c>
      <c r="C54" s="1" t="s">
        <v>58</v>
      </c>
      <c r="D54" s="3">
        <v>45763.0</v>
      </c>
      <c r="E54" s="3">
        <v>45763.0</v>
      </c>
      <c r="F54" s="1">
        <v>1.0</v>
      </c>
      <c r="G54" s="1">
        <v>81.08</v>
      </c>
      <c r="H54" s="1">
        <v>81.08</v>
      </c>
      <c r="I54" s="1">
        <v>454.0</v>
      </c>
      <c r="J54" s="1" t="s">
        <v>17</v>
      </c>
      <c r="K54" s="1">
        <v>0.0</v>
      </c>
    </row>
    <row r="55">
      <c r="A55" s="1" t="s">
        <v>84</v>
      </c>
      <c r="B55" s="1" t="s">
        <v>75</v>
      </c>
      <c r="C55" s="1" t="s">
        <v>58</v>
      </c>
      <c r="D55" s="3">
        <v>45523.0</v>
      </c>
      <c r="E55" s="3">
        <v>45523.0</v>
      </c>
      <c r="F55" s="1">
        <v>1.0</v>
      </c>
      <c r="G55" s="1">
        <v>112.26</v>
      </c>
      <c r="H55" s="1">
        <v>112.26</v>
      </c>
      <c r="I55" s="1">
        <v>694.0</v>
      </c>
      <c r="J55" s="1" t="s">
        <v>17</v>
      </c>
      <c r="K55" s="1">
        <v>0.0</v>
      </c>
    </row>
    <row r="56">
      <c r="A56" s="1" t="s">
        <v>85</v>
      </c>
      <c r="B56" s="1" t="s">
        <v>22</v>
      </c>
      <c r="C56" s="1" t="s">
        <v>58</v>
      </c>
      <c r="D56" s="3">
        <v>45845.0</v>
      </c>
      <c r="E56" s="3">
        <v>45845.0</v>
      </c>
      <c r="F56" s="1">
        <v>1.0</v>
      </c>
      <c r="G56" s="1">
        <v>69.82</v>
      </c>
      <c r="H56" s="1">
        <v>69.82</v>
      </c>
      <c r="I56" s="1">
        <v>372.0</v>
      </c>
      <c r="J56" s="1" t="s">
        <v>14</v>
      </c>
      <c r="K56" s="1">
        <v>0.0</v>
      </c>
    </row>
    <row r="57">
      <c r="A57" s="1" t="s">
        <v>86</v>
      </c>
      <c r="B57" s="1" t="s">
        <v>75</v>
      </c>
      <c r="C57" s="1" t="s">
        <v>58</v>
      </c>
      <c r="D57" s="3">
        <v>45595.0</v>
      </c>
      <c r="E57" s="3">
        <v>45595.0</v>
      </c>
      <c r="F57" s="1">
        <v>1.0</v>
      </c>
      <c r="G57" s="1">
        <v>41.88</v>
      </c>
      <c r="H57" s="1">
        <v>41.88</v>
      </c>
      <c r="I57" s="1">
        <v>622.0</v>
      </c>
      <c r="J57" s="1" t="s">
        <v>17</v>
      </c>
      <c r="K57" s="1">
        <v>0.0</v>
      </c>
    </row>
    <row r="58">
      <c r="A58" s="1" t="s">
        <v>87</v>
      </c>
      <c r="B58" s="1" t="s">
        <v>34</v>
      </c>
      <c r="C58" s="1" t="s">
        <v>58</v>
      </c>
      <c r="D58" s="3">
        <v>45604.0</v>
      </c>
      <c r="E58" s="3">
        <v>45604.0</v>
      </c>
      <c r="F58" s="1">
        <v>1.0</v>
      </c>
      <c r="G58" s="1">
        <v>72.16</v>
      </c>
      <c r="H58" s="1">
        <v>72.16</v>
      </c>
      <c r="I58" s="1">
        <v>613.0</v>
      </c>
      <c r="J58" s="1" t="s">
        <v>14</v>
      </c>
      <c r="K58" s="1">
        <v>0.0</v>
      </c>
    </row>
    <row r="59">
      <c r="A59" s="1" t="s">
        <v>88</v>
      </c>
      <c r="B59" s="1" t="s">
        <v>16</v>
      </c>
      <c r="C59" s="1" t="s">
        <v>58</v>
      </c>
      <c r="D59" s="3">
        <v>46042.0</v>
      </c>
      <c r="E59" s="3">
        <v>46188.0</v>
      </c>
      <c r="F59" s="1">
        <v>4.0</v>
      </c>
      <c r="G59" s="1">
        <v>272.32</v>
      </c>
      <c r="H59" s="1">
        <v>68.08</v>
      </c>
      <c r="I59" s="1">
        <v>29.0</v>
      </c>
      <c r="J59" s="1" t="s">
        <v>17</v>
      </c>
      <c r="K59" s="1">
        <v>0.0</v>
      </c>
    </row>
    <row r="60">
      <c r="A60" s="1" t="s">
        <v>89</v>
      </c>
      <c r="B60" s="1" t="s">
        <v>34</v>
      </c>
      <c r="C60" s="1" t="s">
        <v>58</v>
      </c>
      <c r="D60" s="3">
        <v>46041.0</v>
      </c>
      <c r="E60" s="3">
        <v>46041.0</v>
      </c>
      <c r="F60" s="1">
        <v>1.0</v>
      </c>
      <c r="G60" s="1">
        <v>92.35</v>
      </c>
      <c r="H60" s="1">
        <v>92.35</v>
      </c>
      <c r="I60" s="1">
        <v>176.0</v>
      </c>
      <c r="J60" s="1" t="s">
        <v>14</v>
      </c>
      <c r="K60" s="1">
        <v>0.0</v>
      </c>
    </row>
    <row r="61">
      <c r="A61" s="1" t="s">
        <v>90</v>
      </c>
      <c r="B61" s="1" t="s">
        <v>27</v>
      </c>
      <c r="C61" s="1" t="s">
        <v>58</v>
      </c>
      <c r="D61" s="3">
        <v>45768.0</v>
      </c>
      <c r="E61" s="3">
        <v>45768.0</v>
      </c>
      <c r="F61" s="1">
        <v>1.0</v>
      </c>
      <c r="G61" s="1">
        <v>65.88</v>
      </c>
      <c r="H61" s="1">
        <v>65.88</v>
      </c>
      <c r="I61" s="1">
        <v>449.0</v>
      </c>
      <c r="J61" s="1" t="s">
        <v>17</v>
      </c>
      <c r="K61" s="1">
        <v>0.0</v>
      </c>
    </row>
    <row r="62">
      <c r="A62" s="1" t="s">
        <v>91</v>
      </c>
      <c r="B62" s="1" t="s">
        <v>27</v>
      </c>
      <c r="C62" s="1" t="s">
        <v>58</v>
      </c>
      <c r="D62" s="3">
        <v>46008.0</v>
      </c>
      <c r="E62" s="3">
        <v>46008.0</v>
      </c>
      <c r="F62" s="1">
        <v>1.0</v>
      </c>
      <c r="G62" s="1">
        <v>88.51</v>
      </c>
      <c r="H62" s="1">
        <v>88.51</v>
      </c>
      <c r="I62" s="1">
        <v>209.0</v>
      </c>
      <c r="J62" s="1" t="s">
        <v>17</v>
      </c>
      <c r="K62" s="1">
        <v>0.0</v>
      </c>
    </row>
    <row r="63">
      <c r="A63" s="1" t="s">
        <v>92</v>
      </c>
      <c r="B63" s="1" t="s">
        <v>31</v>
      </c>
      <c r="C63" s="1" t="s">
        <v>58</v>
      </c>
      <c r="D63" s="3">
        <v>46039.0</v>
      </c>
      <c r="E63" s="3">
        <v>46039.0</v>
      </c>
      <c r="F63" s="1">
        <v>1.0</v>
      </c>
      <c r="G63" s="1">
        <v>74.92</v>
      </c>
      <c r="H63" s="1">
        <v>74.92</v>
      </c>
      <c r="I63" s="1">
        <v>178.0</v>
      </c>
      <c r="J63" s="1" t="s">
        <v>17</v>
      </c>
      <c r="K63" s="1">
        <v>0.0</v>
      </c>
    </row>
    <row r="64">
      <c r="A64" s="1" t="s">
        <v>93</v>
      </c>
      <c r="B64" s="1" t="s">
        <v>12</v>
      </c>
      <c r="C64" s="1" t="s">
        <v>58</v>
      </c>
      <c r="D64" s="3">
        <v>46094.0</v>
      </c>
      <c r="E64" s="3">
        <v>46094.0</v>
      </c>
      <c r="F64" s="1">
        <v>1.0</v>
      </c>
      <c r="G64" s="1">
        <v>71.87</v>
      </c>
      <c r="H64" s="1">
        <v>71.87</v>
      </c>
      <c r="I64" s="1">
        <v>123.0</v>
      </c>
      <c r="J64" s="1" t="s">
        <v>17</v>
      </c>
      <c r="K64" s="1">
        <v>0.0</v>
      </c>
    </row>
    <row r="65">
      <c r="A65" s="1" t="s">
        <v>94</v>
      </c>
      <c r="B65" s="1" t="s">
        <v>12</v>
      </c>
      <c r="C65" s="1" t="s">
        <v>58</v>
      </c>
      <c r="D65" s="3">
        <v>45930.0</v>
      </c>
      <c r="E65" s="3">
        <v>45994.0</v>
      </c>
      <c r="F65" s="1">
        <v>7.0</v>
      </c>
      <c r="G65" s="1">
        <v>771.19</v>
      </c>
      <c r="H65" s="1">
        <v>110.17</v>
      </c>
      <c r="I65" s="1">
        <v>223.0</v>
      </c>
      <c r="J65" s="1" t="s">
        <v>17</v>
      </c>
      <c r="K65" s="1">
        <v>0.0</v>
      </c>
    </row>
    <row r="66">
      <c r="A66" s="1" t="s">
        <v>95</v>
      </c>
      <c r="B66" s="1" t="s">
        <v>96</v>
      </c>
      <c r="C66" s="1" t="s">
        <v>58</v>
      </c>
      <c r="D66" s="3">
        <v>46069.0</v>
      </c>
      <c r="E66" s="3">
        <v>46069.0</v>
      </c>
      <c r="F66" s="1">
        <v>1.0</v>
      </c>
      <c r="G66" s="1">
        <v>97.2</v>
      </c>
      <c r="H66" s="1">
        <v>97.2</v>
      </c>
      <c r="I66" s="1">
        <v>148.0</v>
      </c>
      <c r="J66" s="1" t="s">
        <v>14</v>
      </c>
      <c r="K66" s="1">
        <v>0.0</v>
      </c>
    </row>
    <row r="67">
      <c r="A67" s="1" t="s">
        <v>97</v>
      </c>
      <c r="B67" s="1" t="s">
        <v>24</v>
      </c>
      <c r="C67" s="1" t="s">
        <v>58</v>
      </c>
      <c r="D67" s="3">
        <v>45733.0</v>
      </c>
      <c r="E67" s="3">
        <v>45733.0</v>
      </c>
      <c r="F67" s="1">
        <v>1.0</v>
      </c>
      <c r="G67" s="1">
        <v>99.21</v>
      </c>
      <c r="H67" s="1">
        <v>99.21</v>
      </c>
      <c r="I67" s="1">
        <v>484.0</v>
      </c>
      <c r="J67" s="1" t="s">
        <v>17</v>
      </c>
      <c r="K67" s="1">
        <v>0.0</v>
      </c>
    </row>
    <row r="68">
      <c r="A68" s="1" t="s">
        <v>98</v>
      </c>
      <c r="B68" s="1" t="s">
        <v>19</v>
      </c>
      <c r="C68" s="1" t="s">
        <v>58</v>
      </c>
      <c r="D68" s="3">
        <v>45596.0</v>
      </c>
      <c r="E68" s="3">
        <v>45596.0</v>
      </c>
      <c r="F68" s="1">
        <v>1.0</v>
      </c>
      <c r="G68" s="1">
        <v>74.28</v>
      </c>
      <c r="H68" s="1">
        <v>74.28</v>
      </c>
      <c r="I68" s="1">
        <v>621.0</v>
      </c>
      <c r="J68" s="1" t="s">
        <v>14</v>
      </c>
      <c r="K68" s="1">
        <v>0.0</v>
      </c>
    </row>
    <row r="69">
      <c r="A69" s="1" t="s">
        <v>99</v>
      </c>
      <c r="B69" s="1" t="s">
        <v>34</v>
      </c>
      <c r="C69" s="1" t="s">
        <v>58</v>
      </c>
      <c r="D69" s="3">
        <v>45866.0</v>
      </c>
      <c r="E69" s="3">
        <v>45866.0</v>
      </c>
      <c r="F69" s="1">
        <v>1.0</v>
      </c>
      <c r="G69" s="1">
        <v>81.39</v>
      </c>
      <c r="H69" s="1">
        <v>81.39</v>
      </c>
      <c r="I69" s="1">
        <v>351.0</v>
      </c>
      <c r="J69" s="1" t="s">
        <v>17</v>
      </c>
      <c r="K69" s="1">
        <v>0.0</v>
      </c>
    </row>
    <row r="70">
      <c r="A70" s="1" t="s">
        <v>100</v>
      </c>
      <c r="B70" s="1" t="s">
        <v>12</v>
      </c>
      <c r="C70" s="1" t="s">
        <v>58</v>
      </c>
      <c r="D70" s="3">
        <v>46150.0</v>
      </c>
      <c r="E70" s="3">
        <v>46150.0</v>
      </c>
      <c r="F70" s="1">
        <v>1.0</v>
      </c>
      <c r="G70" s="1">
        <v>55.91</v>
      </c>
      <c r="H70" s="1">
        <v>55.91</v>
      </c>
      <c r="I70" s="1">
        <v>67.0</v>
      </c>
      <c r="J70" s="1" t="s">
        <v>17</v>
      </c>
      <c r="K70" s="1">
        <v>0.0</v>
      </c>
    </row>
    <row r="71">
      <c r="A71" s="1" t="s">
        <v>101</v>
      </c>
      <c r="B71" s="1" t="s">
        <v>27</v>
      </c>
      <c r="C71" s="1" t="s">
        <v>58</v>
      </c>
      <c r="D71" s="3">
        <v>45656.0</v>
      </c>
      <c r="E71" s="3">
        <v>45656.0</v>
      </c>
      <c r="F71" s="1">
        <v>1.0</v>
      </c>
      <c r="G71" s="1">
        <v>123.83</v>
      </c>
      <c r="H71" s="1">
        <v>123.83</v>
      </c>
      <c r="I71" s="1">
        <v>561.0</v>
      </c>
      <c r="J71" s="1" t="s">
        <v>17</v>
      </c>
      <c r="K71" s="1">
        <v>0.0</v>
      </c>
    </row>
    <row r="72">
      <c r="A72" s="1" t="s">
        <v>102</v>
      </c>
      <c r="B72" s="1" t="s">
        <v>75</v>
      </c>
      <c r="C72" s="1" t="s">
        <v>58</v>
      </c>
      <c r="D72" s="3">
        <v>45556.0</v>
      </c>
      <c r="E72" s="3">
        <v>45556.0</v>
      </c>
      <c r="F72" s="1">
        <v>1.0</v>
      </c>
      <c r="G72" s="1">
        <v>94.57</v>
      </c>
      <c r="H72" s="1">
        <v>94.57</v>
      </c>
      <c r="I72" s="1">
        <v>661.0</v>
      </c>
      <c r="J72" s="1" t="s">
        <v>14</v>
      </c>
      <c r="K72" s="1">
        <v>0.0</v>
      </c>
    </row>
    <row r="73">
      <c r="A73" s="1" t="s">
        <v>103</v>
      </c>
      <c r="B73" s="1" t="s">
        <v>22</v>
      </c>
      <c r="C73" s="1" t="s">
        <v>58</v>
      </c>
      <c r="D73" s="3">
        <v>45515.0</v>
      </c>
      <c r="E73" s="3">
        <v>45515.0</v>
      </c>
      <c r="F73" s="1">
        <v>1.0</v>
      </c>
      <c r="G73" s="1">
        <v>67.08</v>
      </c>
      <c r="H73" s="1">
        <v>67.08</v>
      </c>
      <c r="I73" s="1">
        <v>702.0</v>
      </c>
      <c r="J73" s="1" t="s">
        <v>17</v>
      </c>
      <c r="K73" s="1">
        <v>0.0</v>
      </c>
    </row>
    <row r="74">
      <c r="A74" s="1" t="s">
        <v>104</v>
      </c>
      <c r="B74" s="1" t="s">
        <v>16</v>
      </c>
      <c r="C74" s="1" t="s">
        <v>58</v>
      </c>
      <c r="D74" s="3">
        <v>46156.0</v>
      </c>
      <c r="E74" s="3">
        <v>46156.0</v>
      </c>
      <c r="F74" s="1">
        <v>1.0</v>
      </c>
      <c r="G74" s="1">
        <v>98.48</v>
      </c>
      <c r="H74" s="1">
        <v>98.48</v>
      </c>
      <c r="I74" s="1">
        <v>61.0</v>
      </c>
      <c r="J74" s="1" t="s">
        <v>17</v>
      </c>
      <c r="K74" s="1">
        <v>0.0</v>
      </c>
    </row>
    <row r="75">
      <c r="A75" s="1" t="s">
        <v>105</v>
      </c>
      <c r="B75" s="1" t="s">
        <v>34</v>
      </c>
      <c r="C75" s="1" t="s">
        <v>106</v>
      </c>
      <c r="D75" s="3">
        <v>45938.0</v>
      </c>
      <c r="E75" s="3">
        <v>45938.0</v>
      </c>
      <c r="F75" s="1">
        <v>1.0</v>
      </c>
      <c r="G75" s="1">
        <v>161.64</v>
      </c>
      <c r="H75" s="1">
        <v>161.64</v>
      </c>
      <c r="I75" s="1">
        <v>279.0</v>
      </c>
      <c r="J75" s="1" t="s">
        <v>17</v>
      </c>
      <c r="K75" s="1">
        <v>2.0</v>
      </c>
    </row>
    <row r="76">
      <c r="A76" s="1" t="s">
        <v>107</v>
      </c>
      <c r="B76" s="1" t="s">
        <v>36</v>
      </c>
      <c r="C76" s="1" t="s">
        <v>106</v>
      </c>
      <c r="D76" s="3">
        <v>46028.0</v>
      </c>
      <c r="E76" s="3">
        <v>46217.0</v>
      </c>
      <c r="F76" s="1">
        <v>5.0</v>
      </c>
      <c r="G76" s="1">
        <v>416.45</v>
      </c>
      <c r="H76" s="1">
        <v>83.29</v>
      </c>
      <c r="I76" s="1">
        <v>0.0</v>
      </c>
      <c r="J76" s="1" t="s">
        <v>14</v>
      </c>
      <c r="K76" s="1">
        <v>2.0</v>
      </c>
    </row>
    <row r="77">
      <c r="A77" s="1" t="s">
        <v>108</v>
      </c>
      <c r="B77" s="1" t="s">
        <v>22</v>
      </c>
      <c r="C77" s="1" t="s">
        <v>106</v>
      </c>
      <c r="D77" s="3">
        <v>45702.0</v>
      </c>
      <c r="E77" s="3">
        <v>45919.0</v>
      </c>
      <c r="F77" s="1">
        <v>2.0</v>
      </c>
      <c r="G77" s="1">
        <v>97.46</v>
      </c>
      <c r="H77" s="1">
        <v>48.73</v>
      </c>
      <c r="I77" s="1">
        <v>298.0</v>
      </c>
      <c r="J77" s="1" t="s">
        <v>17</v>
      </c>
      <c r="K77" s="1">
        <v>2.0</v>
      </c>
    </row>
    <row r="78">
      <c r="A78" s="1" t="s">
        <v>109</v>
      </c>
      <c r="B78" s="1" t="s">
        <v>12</v>
      </c>
      <c r="C78" s="1" t="s">
        <v>106</v>
      </c>
      <c r="D78" s="3">
        <v>45717.0</v>
      </c>
      <c r="E78" s="3">
        <v>45717.0</v>
      </c>
      <c r="F78" s="1">
        <v>1.0</v>
      </c>
      <c r="G78" s="1">
        <v>96.45</v>
      </c>
      <c r="H78" s="1">
        <v>96.45</v>
      </c>
      <c r="I78" s="1">
        <v>500.0</v>
      </c>
      <c r="J78" s="1" t="s">
        <v>17</v>
      </c>
      <c r="K78" s="1">
        <v>2.0</v>
      </c>
    </row>
    <row r="79">
      <c r="A79" s="1" t="s">
        <v>110</v>
      </c>
      <c r="B79" s="1" t="s">
        <v>24</v>
      </c>
      <c r="C79" s="1" t="s">
        <v>106</v>
      </c>
      <c r="D79" s="3">
        <v>45810.0</v>
      </c>
      <c r="E79" s="3">
        <v>45810.0</v>
      </c>
      <c r="F79" s="1">
        <v>1.0</v>
      </c>
      <c r="G79" s="1">
        <v>89.03</v>
      </c>
      <c r="H79" s="1">
        <v>89.03</v>
      </c>
      <c r="I79" s="1">
        <v>407.0</v>
      </c>
      <c r="J79" s="1" t="s">
        <v>17</v>
      </c>
      <c r="K79" s="1">
        <v>2.0</v>
      </c>
    </row>
    <row r="80">
      <c r="A80" s="1" t="s">
        <v>111</v>
      </c>
      <c r="B80" s="1" t="s">
        <v>22</v>
      </c>
      <c r="C80" s="1" t="s">
        <v>106</v>
      </c>
      <c r="D80" s="3">
        <v>45609.0</v>
      </c>
      <c r="E80" s="3">
        <v>45609.0</v>
      </c>
      <c r="F80" s="1">
        <v>1.0</v>
      </c>
      <c r="G80" s="1">
        <v>142.59</v>
      </c>
      <c r="H80" s="1">
        <v>142.59</v>
      </c>
      <c r="I80" s="1">
        <v>608.0</v>
      </c>
      <c r="J80" s="1" t="s">
        <v>17</v>
      </c>
      <c r="K80" s="1">
        <v>2.0</v>
      </c>
    </row>
    <row r="81">
      <c r="A81" s="1" t="s">
        <v>112</v>
      </c>
      <c r="B81" s="1" t="s">
        <v>96</v>
      </c>
      <c r="C81" s="1" t="s">
        <v>106</v>
      </c>
      <c r="D81" s="3">
        <v>46058.0</v>
      </c>
      <c r="E81" s="3">
        <v>46058.0</v>
      </c>
      <c r="F81" s="1">
        <v>1.0</v>
      </c>
      <c r="G81" s="1">
        <v>130.84</v>
      </c>
      <c r="H81" s="1">
        <v>130.84</v>
      </c>
      <c r="I81" s="1">
        <v>159.0</v>
      </c>
      <c r="J81" s="1" t="s">
        <v>17</v>
      </c>
      <c r="K81" s="1">
        <v>2.0</v>
      </c>
    </row>
    <row r="82">
      <c r="A82" s="1" t="s">
        <v>113</v>
      </c>
      <c r="B82" s="1" t="s">
        <v>75</v>
      </c>
      <c r="C82" s="1" t="s">
        <v>106</v>
      </c>
      <c r="D82" s="3">
        <v>45515.0</v>
      </c>
      <c r="E82" s="3">
        <v>45515.0</v>
      </c>
      <c r="F82" s="1">
        <v>1.0</v>
      </c>
      <c r="G82" s="1">
        <v>91.72</v>
      </c>
      <c r="H82" s="1">
        <v>91.72</v>
      </c>
      <c r="I82" s="1">
        <v>702.0</v>
      </c>
      <c r="J82" s="1" t="s">
        <v>14</v>
      </c>
      <c r="K82" s="1">
        <v>2.0</v>
      </c>
    </row>
    <row r="83">
      <c r="A83" s="1" t="s">
        <v>114</v>
      </c>
      <c r="B83" s="1" t="s">
        <v>31</v>
      </c>
      <c r="C83" s="1" t="s">
        <v>106</v>
      </c>
      <c r="D83" s="3">
        <v>45779.0</v>
      </c>
      <c r="E83" s="3">
        <v>45779.0</v>
      </c>
      <c r="F83" s="1">
        <v>1.0</v>
      </c>
      <c r="G83" s="1">
        <v>71.53</v>
      </c>
      <c r="H83" s="1">
        <v>71.53</v>
      </c>
      <c r="I83" s="1">
        <v>438.0</v>
      </c>
      <c r="J83" s="1" t="s">
        <v>17</v>
      </c>
      <c r="K83" s="1">
        <v>2.0</v>
      </c>
    </row>
    <row r="84">
      <c r="A84" s="1" t="s">
        <v>115</v>
      </c>
      <c r="B84" s="1" t="s">
        <v>24</v>
      </c>
      <c r="C84" s="1" t="s">
        <v>106</v>
      </c>
      <c r="D84" s="3">
        <v>45807.0</v>
      </c>
      <c r="E84" s="3">
        <v>45858.0</v>
      </c>
      <c r="F84" s="1">
        <v>2.0</v>
      </c>
      <c r="G84" s="1">
        <v>150.26</v>
      </c>
      <c r="H84" s="1">
        <v>75.13</v>
      </c>
      <c r="I84" s="1">
        <v>359.0</v>
      </c>
      <c r="J84" s="1" t="s">
        <v>14</v>
      </c>
      <c r="K84" s="1">
        <v>1.0</v>
      </c>
    </row>
    <row r="85">
      <c r="A85" s="1" t="s">
        <v>116</v>
      </c>
      <c r="B85" s="1" t="s">
        <v>19</v>
      </c>
      <c r="C85" s="1" t="s">
        <v>106</v>
      </c>
      <c r="D85" s="3">
        <v>45679.0</v>
      </c>
      <c r="E85" s="3">
        <v>45679.0</v>
      </c>
      <c r="F85" s="1">
        <v>1.0</v>
      </c>
      <c r="G85" s="1">
        <v>126.05</v>
      </c>
      <c r="H85" s="1">
        <v>126.05</v>
      </c>
      <c r="I85" s="1">
        <v>538.0</v>
      </c>
      <c r="J85" s="1" t="s">
        <v>17</v>
      </c>
      <c r="K85" s="1">
        <v>1.0</v>
      </c>
    </row>
    <row r="86">
      <c r="A86" s="1" t="s">
        <v>117</v>
      </c>
      <c r="B86" s="1" t="s">
        <v>16</v>
      </c>
      <c r="C86" s="1" t="s">
        <v>106</v>
      </c>
      <c r="D86" s="3">
        <v>45637.0</v>
      </c>
      <c r="E86" s="3">
        <v>45637.0</v>
      </c>
      <c r="F86" s="1">
        <v>1.0</v>
      </c>
      <c r="G86" s="1">
        <v>86.47</v>
      </c>
      <c r="H86" s="1">
        <v>86.47</v>
      </c>
      <c r="I86" s="1">
        <v>580.0</v>
      </c>
      <c r="J86" s="1" t="s">
        <v>17</v>
      </c>
      <c r="K86" s="1">
        <v>1.0</v>
      </c>
    </row>
    <row r="87">
      <c r="A87" s="1" t="s">
        <v>118</v>
      </c>
      <c r="B87" s="1" t="s">
        <v>31</v>
      </c>
      <c r="C87" s="1" t="s">
        <v>106</v>
      </c>
      <c r="D87" s="3">
        <v>45774.0</v>
      </c>
      <c r="E87" s="3">
        <v>45774.0</v>
      </c>
      <c r="F87" s="1">
        <v>1.0</v>
      </c>
      <c r="G87" s="1">
        <v>61.21</v>
      </c>
      <c r="H87" s="1">
        <v>61.21</v>
      </c>
      <c r="I87" s="1">
        <v>443.0</v>
      </c>
      <c r="J87" s="1" t="s">
        <v>17</v>
      </c>
      <c r="K87" s="1">
        <v>1.0</v>
      </c>
    </row>
    <row r="88">
      <c r="A88" s="1" t="s">
        <v>119</v>
      </c>
      <c r="B88" s="1" t="s">
        <v>27</v>
      </c>
      <c r="C88" s="1" t="s">
        <v>106</v>
      </c>
      <c r="D88" s="3">
        <v>46157.0</v>
      </c>
      <c r="E88" s="3">
        <v>46157.0</v>
      </c>
      <c r="F88" s="1">
        <v>1.0</v>
      </c>
      <c r="G88" s="1">
        <v>103.12</v>
      </c>
      <c r="H88" s="1">
        <v>103.12</v>
      </c>
      <c r="I88" s="1">
        <v>60.0</v>
      </c>
      <c r="J88" s="1" t="s">
        <v>17</v>
      </c>
      <c r="K88" s="1">
        <v>1.0</v>
      </c>
    </row>
    <row r="89">
      <c r="A89" s="1" t="s">
        <v>120</v>
      </c>
      <c r="B89" s="1" t="s">
        <v>19</v>
      </c>
      <c r="C89" s="1" t="s">
        <v>106</v>
      </c>
      <c r="D89" s="3">
        <v>46142.0</v>
      </c>
      <c r="E89" s="3">
        <v>46142.0</v>
      </c>
      <c r="F89" s="1">
        <v>1.0</v>
      </c>
      <c r="G89" s="1">
        <v>130.39</v>
      </c>
      <c r="H89" s="1">
        <v>130.39</v>
      </c>
      <c r="I89" s="1">
        <v>75.0</v>
      </c>
      <c r="J89" s="1" t="s">
        <v>17</v>
      </c>
      <c r="K89" s="1">
        <v>1.0</v>
      </c>
    </row>
    <row r="90">
      <c r="A90" s="1" t="s">
        <v>121</v>
      </c>
      <c r="B90" s="1" t="s">
        <v>22</v>
      </c>
      <c r="C90" s="1" t="s">
        <v>106</v>
      </c>
      <c r="D90" s="3">
        <v>45654.0</v>
      </c>
      <c r="E90" s="3">
        <v>45654.0</v>
      </c>
      <c r="F90" s="1">
        <v>1.0</v>
      </c>
      <c r="G90" s="1">
        <v>76.19</v>
      </c>
      <c r="H90" s="1">
        <v>76.19</v>
      </c>
      <c r="I90" s="1">
        <v>563.0</v>
      </c>
      <c r="J90" s="1" t="s">
        <v>14</v>
      </c>
      <c r="K90" s="1">
        <v>1.0</v>
      </c>
    </row>
    <row r="91">
      <c r="A91" s="1" t="s">
        <v>122</v>
      </c>
      <c r="B91" s="1" t="s">
        <v>12</v>
      </c>
      <c r="C91" s="1" t="s">
        <v>106</v>
      </c>
      <c r="D91" s="3">
        <v>45579.0</v>
      </c>
      <c r="E91" s="3">
        <v>45579.0</v>
      </c>
      <c r="F91" s="1">
        <v>1.0</v>
      </c>
      <c r="G91" s="1">
        <v>111.68</v>
      </c>
      <c r="H91" s="1">
        <v>111.68</v>
      </c>
      <c r="I91" s="1">
        <v>638.0</v>
      </c>
      <c r="J91" s="1" t="s">
        <v>17</v>
      </c>
      <c r="K91" s="1">
        <v>1.0</v>
      </c>
    </row>
    <row r="92">
      <c r="A92" s="1" t="s">
        <v>123</v>
      </c>
      <c r="B92" s="1" t="s">
        <v>75</v>
      </c>
      <c r="C92" s="1" t="s">
        <v>106</v>
      </c>
      <c r="D92" s="3">
        <v>45993.0</v>
      </c>
      <c r="E92" s="3">
        <v>45993.0</v>
      </c>
      <c r="F92" s="1">
        <v>1.0</v>
      </c>
      <c r="G92" s="1">
        <v>137.78</v>
      </c>
      <c r="H92" s="1">
        <v>137.78</v>
      </c>
      <c r="I92" s="1">
        <v>224.0</v>
      </c>
      <c r="J92" s="1" t="s">
        <v>17</v>
      </c>
      <c r="K92" s="1">
        <v>1.0</v>
      </c>
    </row>
    <row r="93">
      <c r="A93" s="1" t="s">
        <v>124</v>
      </c>
      <c r="B93" s="1" t="s">
        <v>12</v>
      </c>
      <c r="C93" s="1" t="s">
        <v>106</v>
      </c>
      <c r="D93" s="3">
        <v>45779.0</v>
      </c>
      <c r="E93" s="3">
        <v>45779.0</v>
      </c>
      <c r="F93" s="1">
        <v>1.0</v>
      </c>
      <c r="G93" s="1">
        <v>115.13</v>
      </c>
      <c r="H93" s="1">
        <v>115.13</v>
      </c>
      <c r="I93" s="1">
        <v>438.0</v>
      </c>
      <c r="J93" s="1" t="s">
        <v>14</v>
      </c>
      <c r="K93" s="1">
        <v>1.0</v>
      </c>
    </row>
    <row r="94">
      <c r="A94" s="1" t="s">
        <v>125</v>
      </c>
      <c r="B94" s="1" t="s">
        <v>34</v>
      </c>
      <c r="C94" s="1" t="s">
        <v>106</v>
      </c>
      <c r="D94" s="3">
        <v>45662.0</v>
      </c>
      <c r="E94" s="3">
        <v>45662.0</v>
      </c>
      <c r="F94" s="1">
        <v>1.0</v>
      </c>
      <c r="G94" s="1">
        <v>67.91</v>
      </c>
      <c r="H94" s="1">
        <v>67.91</v>
      </c>
      <c r="I94" s="1">
        <v>555.0</v>
      </c>
      <c r="J94" s="1" t="s">
        <v>17</v>
      </c>
      <c r="K94" s="1">
        <v>1.0</v>
      </c>
    </row>
    <row r="95">
      <c r="A95" s="1" t="s">
        <v>126</v>
      </c>
      <c r="B95" s="1" t="s">
        <v>96</v>
      </c>
      <c r="C95" s="1" t="s">
        <v>106</v>
      </c>
      <c r="D95" s="3">
        <v>45921.0</v>
      </c>
      <c r="E95" s="3">
        <v>45921.0</v>
      </c>
      <c r="F95" s="1">
        <v>1.0</v>
      </c>
      <c r="G95" s="1">
        <v>66.85</v>
      </c>
      <c r="H95" s="1">
        <v>66.85</v>
      </c>
      <c r="I95" s="1">
        <v>296.0</v>
      </c>
      <c r="J95" s="1" t="s">
        <v>17</v>
      </c>
      <c r="K95" s="1">
        <v>1.0</v>
      </c>
    </row>
    <row r="96">
      <c r="A96" s="1" t="s">
        <v>127</v>
      </c>
      <c r="B96" s="1" t="s">
        <v>31</v>
      </c>
      <c r="C96" s="1" t="s">
        <v>106</v>
      </c>
      <c r="D96" s="3">
        <v>45967.0</v>
      </c>
      <c r="E96" s="3">
        <v>45967.0</v>
      </c>
      <c r="F96" s="1">
        <v>1.0</v>
      </c>
      <c r="G96" s="1">
        <v>69.63</v>
      </c>
      <c r="H96" s="1">
        <v>69.63</v>
      </c>
      <c r="I96" s="1">
        <v>250.0</v>
      </c>
      <c r="J96" s="1" t="s">
        <v>14</v>
      </c>
      <c r="K96" s="1">
        <v>1.0</v>
      </c>
    </row>
    <row r="97">
      <c r="A97" s="1" t="s">
        <v>128</v>
      </c>
      <c r="B97" s="1" t="s">
        <v>34</v>
      </c>
      <c r="C97" s="1" t="s">
        <v>106</v>
      </c>
      <c r="D97" s="3">
        <v>45856.0</v>
      </c>
      <c r="E97" s="3">
        <v>45856.0</v>
      </c>
      <c r="F97" s="1">
        <v>1.0</v>
      </c>
      <c r="G97" s="1">
        <v>111.65</v>
      </c>
      <c r="H97" s="1">
        <v>111.65</v>
      </c>
      <c r="I97" s="1">
        <v>361.0</v>
      </c>
      <c r="J97" s="1" t="s">
        <v>14</v>
      </c>
      <c r="K97" s="1">
        <v>1.0</v>
      </c>
    </row>
    <row r="98">
      <c r="A98" s="1" t="s">
        <v>129</v>
      </c>
      <c r="B98" s="1" t="s">
        <v>36</v>
      </c>
      <c r="C98" s="1" t="s">
        <v>106</v>
      </c>
      <c r="D98" s="3">
        <v>46106.0</v>
      </c>
      <c r="E98" s="3">
        <v>46217.0</v>
      </c>
      <c r="F98" s="1">
        <v>8.0</v>
      </c>
      <c r="G98" s="1">
        <v>1067.68</v>
      </c>
      <c r="H98" s="1">
        <v>133.46</v>
      </c>
      <c r="I98" s="1">
        <v>0.0</v>
      </c>
      <c r="J98" s="1" t="s">
        <v>17</v>
      </c>
      <c r="K98" s="1">
        <v>1.0</v>
      </c>
    </row>
    <row r="99">
      <c r="A99" s="1" t="s">
        <v>130</v>
      </c>
      <c r="B99" s="1" t="s">
        <v>27</v>
      </c>
      <c r="C99" s="1" t="s">
        <v>106</v>
      </c>
      <c r="D99" s="3">
        <v>45648.0</v>
      </c>
      <c r="E99" s="3">
        <v>46217.0</v>
      </c>
      <c r="F99" s="1">
        <v>5.0</v>
      </c>
      <c r="G99" s="1">
        <v>333.5</v>
      </c>
      <c r="H99" s="1">
        <v>66.7</v>
      </c>
      <c r="I99" s="1">
        <v>0.0</v>
      </c>
      <c r="J99" s="1" t="s">
        <v>17</v>
      </c>
      <c r="K99" s="1">
        <v>0.0</v>
      </c>
    </row>
    <row r="100">
      <c r="A100" s="1" t="s">
        <v>131</v>
      </c>
      <c r="B100" s="1" t="s">
        <v>24</v>
      </c>
      <c r="C100" s="1" t="s">
        <v>106</v>
      </c>
      <c r="D100" s="3">
        <v>45615.0</v>
      </c>
      <c r="E100" s="3">
        <v>45615.0</v>
      </c>
      <c r="F100" s="1">
        <v>1.0</v>
      </c>
      <c r="G100" s="1">
        <v>80.77</v>
      </c>
      <c r="H100" s="1">
        <v>80.77</v>
      </c>
      <c r="I100" s="1">
        <v>602.0</v>
      </c>
      <c r="J100" s="1" t="s">
        <v>14</v>
      </c>
      <c r="K100" s="1">
        <v>0.0</v>
      </c>
    </row>
    <row r="101">
      <c r="A101" s="1" t="s">
        <v>132</v>
      </c>
      <c r="B101" s="1" t="s">
        <v>34</v>
      </c>
      <c r="C101" s="1" t="s">
        <v>106</v>
      </c>
      <c r="D101" s="3">
        <v>46126.0</v>
      </c>
      <c r="E101" s="3">
        <v>46126.0</v>
      </c>
      <c r="F101" s="1">
        <v>1.0</v>
      </c>
      <c r="G101" s="1">
        <v>129.68</v>
      </c>
      <c r="H101" s="1">
        <v>129.68</v>
      </c>
      <c r="I101" s="1">
        <v>91.0</v>
      </c>
      <c r="J101" s="1" t="s">
        <v>17</v>
      </c>
      <c r="K101" s="1">
        <v>0.0</v>
      </c>
    </row>
    <row r="102">
      <c r="A102" s="1" t="s">
        <v>133</v>
      </c>
      <c r="B102" s="1" t="s">
        <v>36</v>
      </c>
      <c r="C102" s="1" t="s">
        <v>106</v>
      </c>
      <c r="D102" s="3">
        <v>46159.0</v>
      </c>
      <c r="E102" s="3">
        <v>46159.0</v>
      </c>
      <c r="F102" s="1">
        <v>1.0</v>
      </c>
      <c r="G102" s="1">
        <v>85.55</v>
      </c>
      <c r="H102" s="1">
        <v>85.55</v>
      </c>
      <c r="I102" s="1">
        <v>58.0</v>
      </c>
      <c r="J102" s="1" t="s">
        <v>14</v>
      </c>
      <c r="K102" s="1">
        <v>0.0</v>
      </c>
    </row>
    <row r="103">
      <c r="A103" s="1" t="s">
        <v>134</v>
      </c>
      <c r="B103" s="1" t="s">
        <v>16</v>
      </c>
      <c r="C103" s="1" t="s">
        <v>106</v>
      </c>
      <c r="D103" s="3">
        <v>45802.0</v>
      </c>
      <c r="E103" s="3">
        <v>45802.0</v>
      </c>
      <c r="F103" s="1">
        <v>1.0</v>
      </c>
      <c r="G103" s="1">
        <v>81.93</v>
      </c>
      <c r="H103" s="1">
        <v>81.93</v>
      </c>
      <c r="I103" s="1">
        <v>415.0</v>
      </c>
      <c r="J103" s="1" t="s">
        <v>14</v>
      </c>
      <c r="K103" s="1">
        <v>0.0</v>
      </c>
    </row>
    <row r="104">
      <c r="A104" s="1" t="s">
        <v>135</v>
      </c>
      <c r="B104" s="1" t="s">
        <v>24</v>
      </c>
      <c r="C104" s="1" t="s">
        <v>106</v>
      </c>
      <c r="D104" s="3">
        <v>45884.0</v>
      </c>
      <c r="E104" s="3">
        <v>45884.0</v>
      </c>
      <c r="F104" s="1">
        <v>1.0</v>
      </c>
      <c r="G104" s="1">
        <v>111.15</v>
      </c>
      <c r="H104" s="1">
        <v>111.15</v>
      </c>
      <c r="I104" s="1">
        <v>333.0</v>
      </c>
      <c r="J104" s="1" t="s">
        <v>14</v>
      </c>
      <c r="K104" s="1">
        <v>0.0</v>
      </c>
    </row>
    <row r="105">
      <c r="A105" s="1" t="s">
        <v>136</v>
      </c>
      <c r="B105" s="1" t="s">
        <v>29</v>
      </c>
      <c r="C105" s="1" t="s">
        <v>106</v>
      </c>
      <c r="D105" s="3">
        <v>45615.0</v>
      </c>
      <c r="E105" s="3">
        <v>45615.0</v>
      </c>
      <c r="F105" s="1">
        <v>1.0</v>
      </c>
      <c r="G105" s="1">
        <v>104.25</v>
      </c>
      <c r="H105" s="1">
        <v>104.25</v>
      </c>
      <c r="I105" s="1">
        <v>602.0</v>
      </c>
      <c r="J105" s="1" t="s">
        <v>17</v>
      </c>
      <c r="K105" s="1">
        <v>0.0</v>
      </c>
    </row>
    <row r="106">
      <c r="A106" s="1" t="s">
        <v>137</v>
      </c>
      <c r="B106" s="1" t="s">
        <v>22</v>
      </c>
      <c r="C106" s="1" t="s">
        <v>106</v>
      </c>
      <c r="D106" s="3">
        <v>45808.0</v>
      </c>
      <c r="E106" s="3">
        <v>45808.0</v>
      </c>
      <c r="F106" s="1">
        <v>1.0</v>
      </c>
      <c r="G106" s="1">
        <v>111.07</v>
      </c>
      <c r="H106" s="1">
        <v>111.07</v>
      </c>
      <c r="I106" s="1">
        <v>409.0</v>
      </c>
      <c r="J106" s="1" t="s">
        <v>14</v>
      </c>
      <c r="K106" s="1">
        <v>0.0</v>
      </c>
    </row>
    <row r="107">
      <c r="A107" s="1" t="s">
        <v>138</v>
      </c>
      <c r="B107" s="1" t="s">
        <v>96</v>
      </c>
      <c r="C107" s="1" t="s">
        <v>106</v>
      </c>
      <c r="D107" s="3">
        <v>46075.0</v>
      </c>
      <c r="E107" s="3">
        <v>46075.0</v>
      </c>
      <c r="F107" s="1">
        <v>1.0</v>
      </c>
      <c r="G107" s="1">
        <v>81.76</v>
      </c>
      <c r="H107" s="1">
        <v>81.76</v>
      </c>
      <c r="I107" s="1">
        <v>142.0</v>
      </c>
      <c r="J107" s="1" t="s">
        <v>17</v>
      </c>
      <c r="K107" s="1">
        <v>0.0</v>
      </c>
    </row>
    <row r="108">
      <c r="A108" s="1" t="s">
        <v>139</v>
      </c>
      <c r="B108" s="1" t="s">
        <v>16</v>
      </c>
      <c r="C108" s="1" t="s">
        <v>106</v>
      </c>
      <c r="D108" s="3">
        <v>46022.0</v>
      </c>
      <c r="E108" s="3">
        <v>46022.0</v>
      </c>
      <c r="F108" s="1">
        <v>1.0</v>
      </c>
      <c r="G108" s="1">
        <v>76.04</v>
      </c>
      <c r="H108" s="1">
        <v>76.04</v>
      </c>
      <c r="I108" s="1">
        <v>195.0</v>
      </c>
      <c r="J108" s="1" t="s">
        <v>17</v>
      </c>
      <c r="K108" s="1">
        <v>0.0</v>
      </c>
    </row>
    <row r="109">
      <c r="A109" s="1" t="s">
        <v>140</v>
      </c>
      <c r="B109" s="1" t="s">
        <v>12</v>
      </c>
      <c r="C109" s="1" t="s">
        <v>106</v>
      </c>
      <c r="D109" s="3">
        <v>45482.0</v>
      </c>
      <c r="E109" s="3">
        <v>45482.0</v>
      </c>
      <c r="F109" s="1">
        <v>1.0</v>
      </c>
      <c r="G109" s="1">
        <v>88.32</v>
      </c>
      <c r="H109" s="1">
        <v>88.32</v>
      </c>
      <c r="I109" s="1">
        <v>735.0</v>
      </c>
      <c r="J109" s="1" t="s">
        <v>14</v>
      </c>
      <c r="K109" s="1">
        <v>0.0</v>
      </c>
    </row>
    <row r="110">
      <c r="A110" s="1" t="s">
        <v>141</v>
      </c>
      <c r="B110" s="1" t="s">
        <v>36</v>
      </c>
      <c r="C110" s="1" t="s">
        <v>106</v>
      </c>
      <c r="D110" s="3">
        <v>45689.0</v>
      </c>
      <c r="E110" s="3">
        <v>45689.0</v>
      </c>
      <c r="F110" s="1">
        <v>1.0</v>
      </c>
      <c r="G110" s="1">
        <v>70.59</v>
      </c>
      <c r="H110" s="1">
        <v>70.59</v>
      </c>
      <c r="I110" s="1">
        <v>528.0</v>
      </c>
      <c r="J110" s="1" t="s">
        <v>17</v>
      </c>
      <c r="K110" s="1">
        <v>0.0</v>
      </c>
    </row>
    <row r="111">
      <c r="A111" s="1" t="s">
        <v>142</v>
      </c>
      <c r="B111" s="1" t="s">
        <v>19</v>
      </c>
      <c r="C111" s="1" t="s">
        <v>106</v>
      </c>
      <c r="D111" s="3">
        <v>46010.0</v>
      </c>
      <c r="E111" s="3">
        <v>46174.0</v>
      </c>
      <c r="F111" s="1">
        <v>5.0</v>
      </c>
      <c r="G111" s="1">
        <v>663.2</v>
      </c>
      <c r="H111" s="1">
        <v>132.64</v>
      </c>
      <c r="I111" s="1">
        <v>43.0</v>
      </c>
      <c r="J111" s="1" t="s">
        <v>17</v>
      </c>
      <c r="K111" s="1">
        <v>0.0</v>
      </c>
    </row>
    <row r="112">
      <c r="A112" s="1" t="s">
        <v>143</v>
      </c>
      <c r="B112" s="1" t="s">
        <v>34</v>
      </c>
      <c r="C112" s="1" t="s">
        <v>106</v>
      </c>
      <c r="D112" s="3">
        <v>45978.0</v>
      </c>
      <c r="E112" s="3">
        <v>45978.0</v>
      </c>
      <c r="F112" s="1">
        <v>1.0</v>
      </c>
      <c r="G112" s="1">
        <v>119.89</v>
      </c>
      <c r="H112" s="1">
        <v>119.89</v>
      </c>
      <c r="I112" s="1">
        <v>239.0</v>
      </c>
      <c r="J112" s="1" t="s">
        <v>14</v>
      </c>
      <c r="K112" s="1">
        <v>0.0</v>
      </c>
    </row>
    <row r="113">
      <c r="A113" s="1" t="s">
        <v>144</v>
      </c>
      <c r="B113" s="1" t="s">
        <v>36</v>
      </c>
      <c r="C113" s="1" t="s">
        <v>106</v>
      </c>
      <c r="D113" s="3">
        <v>45642.0</v>
      </c>
      <c r="E113" s="3">
        <v>45883.0</v>
      </c>
      <c r="F113" s="1">
        <v>6.0</v>
      </c>
      <c r="G113" s="1">
        <v>698.64</v>
      </c>
      <c r="H113" s="1">
        <v>116.44</v>
      </c>
      <c r="I113" s="1">
        <v>334.0</v>
      </c>
      <c r="J113" s="1" t="s">
        <v>14</v>
      </c>
      <c r="K113" s="1">
        <v>0.0</v>
      </c>
    </row>
    <row r="114">
      <c r="A114" s="1" t="s">
        <v>145</v>
      </c>
      <c r="B114" s="1" t="s">
        <v>16</v>
      </c>
      <c r="C114" s="1" t="s">
        <v>106</v>
      </c>
      <c r="D114" s="3">
        <v>45728.0</v>
      </c>
      <c r="E114" s="3">
        <v>45728.0</v>
      </c>
      <c r="F114" s="1">
        <v>1.0</v>
      </c>
      <c r="G114" s="1">
        <v>78.74</v>
      </c>
      <c r="H114" s="1">
        <v>78.74</v>
      </c>
      <c r="I114" s="1">
        <v>489.0</v>
      </c>
      <c r="J114" s="1" t="s">
        <v>17</v>
      </c>
      <c r="K114" s="1">
        <v>0.0</v>
      </c>
    </row>
    <row r="115">
      <c r="A115" s="1" t="s">
        <v>146</v>
      </c>
      <c r="B115" s="1" t="s">
        <v>34</v>
      </c>
      <c r="C115" s="1" t="s">
        <v>106</v>
      </c>
      <c r="D115" s="3">
        <v>46108.0</v>
      </c>
      <c r="E115" s="3">
        <v>46217.0</v>
      </c>
      <c r="F115" s="1">
        <v>8.0</v>
      </c>
      <c r="G115" s="1">
        <v>1126.8</v>
      </c>
      <c r="H115" s="1">
        <v>140.85</v>
      </c>
      <c r="I115" s="1">
        <v>0.0</v>
      </c>
      <c r="J115" s="1" t="s">
        <v>14</v>
      </c>
      <c r="K115" s="1">
        <v>0.0</v>
      </c>
    </row>
    <row r="116">
      <c r="A116" s="1" t="s">
        <v>147</v>
      </c>
      <c r="B116" s="1" t="s">
        <v>27</v>
      </c>
      <c r="C116" s="1" t="s">
        <v>106</v>
      </c>
      <c r="D116" s="3">
        <v>46170.0</v>
      </c>
      <c r="E116" s="3">
        <v>46217.0</v>
      </c>
      <c r="F116" s="1">
        <v>5.0</v>
      </c>
      <c r="G116" s="1">
        <v>337.85</v>
      </c>
      <c r="H116" s="1">
        <v>67.57</v>
      </c>
      <c r="I116" s="1">
        <v>0.0</v>
      </c>
      <c r="J116" s="1" t="s">
        <v>17</v>
      </c>
      <c r="K116" s="1">
        <v>0.0</v>
      </c>
    </row>
    <row r="117">
      <c r="A117" s="1" t="s">
        <v>148</v>
      </c>
      <c r="B117" s="1" t="s">
        <v>24</v>
      </c>
      <c r="C117" s="1" t="s">
        <v>106</v>
      </c>
      <c r="D117" s="3">
        <v>45996.0</v>
      </c>
      <c r="E117" s="3">
        <v>45996.0</v>
      </c>
      <c r="F117" s="1">
        <v>1.0</v>
      </c>
      <c r="G117" s="1">
        <v>118.59</v>
      </c>
      <c r="H117" s="1">
        <v>118.59</v>
      </c>
      <c r="I117" s="1">
        <v>221.0</v>
      </c>
      <c r="J117" s="1" t="s">
        <v>17</v>
      </c>
      <c r="K117" s="1">
        <v>0.0</v>
      </c>
    </row>
    <row r="118">
      <c r="A118" s="1" t="s">
        <v>149</v>
      </c>
      <c r="B118" s="1" t="s">
        <v>24</v>
      </c>
      <c r="C118" s="1" t="s">
        <v>106</v>
      </c>
      <c r="D118" s="3">
        <v>45946.0</v>
      </c>
      <c r="E118" s="3">
        <v>45946.0</v>
      </c>
      <c r="F118" s="1">
        <v>1.0</v>
      </c>
      <c r="G118" s="1">
        <v>108.19</v>
      </c>
      <c r="H118" s="1">
        <v>108.19</v>
      </c>
      <c r="I118" s="1">
        <v>271.0</v>
      </c>
      <c r="J118" s="1" t="s">
        <v>14</v>
      </c>
      <c r="K118" s="1">
        <v>0.0</v>
      </c>
    </row>
    <row r="119">
      <c r="A119" s="1" t="s">
        <v>150</v>
      </c>
      <c r="B119" s="1" t="s">
        <v>12</v>
      </c>
      <c r="C119" s="1" t="s">
        <v>106</v>
      </c>
      <c r="D119" s="3">
        <v>45815.0</v>
      </c>
      <c r="E119" s="3">
        <v>45815.0</v>
      </c>
      <c r="F119" s="1">
        <v>1.0</v>
      </c>
      <c r="G119" s="1">
        <v>79.02</v>
      </c>
      <c r="H119" s="1">
        <v>79.02</v>
      </c>
      <c r="I119" s="1">
        <v>402.0</v>
      </c>
      <c r="J119" s="1" t="s">
        <v>17</v>
      </c>
      <c r="K119" s="1">
        <v>0.0</v>
      </c>
    </row>
    <row r="120">
      <c r="A120" s="1" t="s">
        <v>151</v>
      </c>
      <c r="B120" s="1" t="s">
        <v>75</v>
      </c>
      <c r="C120" s="1" t="s">
        <v>106</v>
      </c>
      <c r="D120" s="3">
        <v>45661.0</v>
      </c>
      <c r="E120" s="3">
        <v>45661.0</v>
      </c>
      <c r="F120" s="1">
        <v>1.0</v>
      </c>
      <c r="G120" s="1">
        <v>111.87</v>
      </c>
      <c r="H120" s="1">
        <v>111.87</v>
      </c>
      <c r="I120" s="1">
        <v>556.0</v>
      </c>
      <c r="J120" s="1" t="s">
        <v>17</v>
      </c>
      <c r="K120" s="1">
        <v>0.0</v>
      </c>
    </row>
    <row r="121">
      <c r="A121" s="1" t="s">
        <v>152</v>
      </c>
      <c r="B121" s="1" t="s">
        <v>29</v>
      </c>
      <c r="C121" s="1" t="s">
        <v>106</v>
      </c>
      <c r="D121" s="3">
        <v>45552.0</v>
      </c>
      <c r="E121" s="3">
        <v>45912.0</v>
      </c>
      <c r="F121" s="1">
        <v>3.0</v>
      </c>
      <c r="G121" s="1">
        <v>269.31</v>
      </c>
      <c r="H121" s="1">
        <v>89.77</v>
      </c>
      <c r="I121" s="1">
        <v>305.0</v>
      </c>
      <c r="J121" s="1" t="s">
        <v>17</v>
      </c>
      <c r="K121" s="1">
        <v>0.0</v>
      </c>
    </row>
    <row r="122">
      <c r="A122" s="1" t="s">
        <v>153</v>
      </c>
      <c r="B122" s="1" t="s">
        <v>19</v>
      </c>
      <c r="C122" s="1" t="s">
        <v>106</v>
      </c>
      <c r="D122" s="3">
        <v>46093.0</v>
      </c>
      <c r="E122" s="3">
        <v>46093.0</v>
      </c>
      <c r="F122" s="1">
        <v>1.0</v>
      </c>
      <c r="G122" s="1">
        <v>72.9</v>
      </c>
      <c r="H122" s="1">
        <v>72.9</v>
      </c>
      <c r="I122" s="1">
        <v>124.0</v>
      </c>
      <c r="J122" s="1" t="s">
        <v>17</v>
      </c>
      <c r="K122" s="1">
        <v>0.0</v>
      </c>
    </row>
    <row r="123">
      <c r="A123" s="1" t="s">
        <v>154</v>
      </c>
      <c r="B123" s="1" t="s">
        <v>29</v>
      </c>
      <c r="C123" s="1" t="s">
        <v>106</v>
      </c>
      <c r="D123" s="3">
        <v>45958.0</v>
      </c>
      <c r="E123" s="3">
        <v>45958.0</v>
      </c>
      <c r="F123" s="1">
        <v>1.0</v>
      </c>
      <c r="G123" s="1">
        <v>106.7</v>
      </c>
      <c r="H123" s="1">
        <v>106.7</v>
      </c>
      <c r="I123" s="1">
        <v>259.0</v>
      </c>
      <c r="J123" s="1" t="s">
        <v>17</v>
      </c>
      <c r="K123" s="1">
        <v>0.0</v>
      </c>
    </row>
    <row r="124">
      <c r="A124" s="1" t="s">
        <v>155</v>
      </c>
      <c r="B124" s="1" t="s">
        <v>16</v>
      </c>
      <c r="C124" s="1" t="s">
        <v>106</v>
      </c>
      <c r="D124" s="3">
        <v>46058.0</v>
      </c>
      <c r="E124" s="3">
        <v>46058.0</v>
      </c>
      <c r="F124" s="1">
        <v>1.0</v>
      </c>
      <c r="G124" s="1">
        <v>84.81</v>
      </c>
      <c r="H124" s="1">
        <v>84.81</v>
      </c>
      <c r="I124" s="1">
        <v>159.0</v>
      </c>
      <c r="J124" s="1" t="s">
        <v>14</v>
      </c>
      <c r="K124" s="1">
        <v>0.0</v>
      </c>
    </row>
    <row r="125">
      <c r="A125" s="1" t="s">
        <v>156</v>
      </c>
      <c r="B125" s="1" t="s">
        <v>24</v>
      </c>
      <c r="C125" s="1" t="s">
        <v>157</v>
      </c>
      <c r="D125" s="3">
        <v>45968.0</v>
      </c>
      <c r="E125" s="3">
        <v>46217.0</v>
      </c>
      <c r="F125" s="1">
        <v>2.0</v>
      </c>
      <c r="G125" s="1">
        <v>91.54</v>
      </c>
      <c r="H125" s="1">
        <v>45.77</v>
      </c>
      <c r="I125" s="1">
        <v>0.0</v>
      </c>
      <c r="J125" s="1" t="s">
        <v>14</v>
      </c>
      <c r="K125" s="1">
        <v>2.0</v>
      </c>
    </row>
    <row r="126">
      <c r="A126" s="1" t="s">
        <v>158</v>
      </c>
      <c r="B126" s="1" t="s">
        <v>24</v>
      </c>
      <c r="C126" s="1" t="s">
        <v>157</v>
      </c>
      <c r="D126" s="3">
        <v>45491.0</v>
      </c>
      <c r="E126" s="3">
        <v>45491.0</v>
      </c>
      <c r="F126" s="1">
        <v>1.0</v>
      </c>
      <c r="G126" s="1">
        <v>59.72</v>
      </c>
      <c r="H126" s="1">
        <v>59.72</v>
      </c>
      <c r="I126" s="1">
        <v>726.0</v>
      </c>
      <c r="J126" s="1" t="s">
        <v>17</v>
      </c>
      <c r="K126" s="1">
        <v>2.0</v>
      </c>
    </row>
    <row r="127">
      <c r="A127" s="1" t="s">
        <v>159</v>
      </c>
      <c r="B127" s="1" t="s">
        <v>34</v>
      </c>
      <c r="C127" s="1" t="s">
        <v>157</v>
      </c>
      <c r="D127" s="3">
        <v>45782.0</v>
      </c>
      <c r="E127" s="3">
        <v>45782.0</v>
      </c>
      <c r="F127" s="1">
        <v>1.0</v>
      </c>
      <c r="G127" s="1">
        <v>65.86</v>
      </c>
      <c r="H127" s="1">
        <v>65.86</v>
      </c>
      <c r="I127" s="1">
        <v>435.0</v>
      </c>
      <c r="J127" s="1" t="s">
        <v>14</v>
      </c>
      <c r="K127" s="1">
        <v>2.0</v>
      </c>
    </row>
    <row r="128">
      <c r="A128" s="1" t="s">
        <v>160</v>
      </c>
      <c r="B128" s="1" t="s">
        <v>27</v>
      </c>
      <c r="C128" s="1" t="s">
        <v>157</v>
      </c>
      <c r="D128" s="3">
        <v>45822.0</v>
      </c>
      <c r="E128" s="3">
        <v>45822.0</v>
      </c>
      <c r="F128" s="1">
        <v>1.0</v>
      </c>
      <c r="G128" s="1">
        <v>88.55</v>
      </c>
      <c r="H128" s="1">
        <v>88.55</v>
      </c>
      <c r="I128" s="1">
        <v>395.0</v>
      </c>
      <c r="J128" s="1" t="s">
        <v>17</v>
      </c>
      <c r="K128" s="1">
        <v>2.0</v>
      </c>
    </row>
    <row r="129">
      <c r="A129" s="1" t="s">
        <v>161</v>
      </c>
      <c r="B129" s="1" t="s">
        <v>96</v>
      </c>
      <c r="C129" s="1" t="s">
        <v>157</v>
      </c>
      <c r="D129" s="3">
        <v>45864.0</v>
      </c>
      <c r="E129" s="3">
        <v>45864.0</v>
      </c>
      <c r="F129" s="1">
        <v>1.0</v>
      </c>
      <c r="G129" s="1">
        <v>118.4</v>
      </c>
      <c r="H129" s="1">
        <v>118.4</v>
      </c>
      <c r="I129" s="1">
        <v>353.0</v>
      </c>
      <c r="J129" s="1" t="s">
        <v>17</v>
      </c>
      <c r="K129" s="1">
        <v>2.0</v>
      </c>
    </row>
    <row r="130">
      <c r="A130" s="1" t="s">
        <v>162</v>
      </c>
      <c r="B130" s="1" t="s">
        <v>75</v>
      </c>
      <c r="C130" s="1" t="s">
        <v>157</v>
      </c>
      <c r="D130" s="3">
        <v>46165.0</v>
      </c>
      <c r="E130" s="3">
        <v>46165.0</v>
      </c>
      <c r="F130" s="1">
        <v>1.0</v>
      </c>
      <c r="G130" s="1">
        <v>106.01</v>
      </c>
      <c r="H130" s="1">
        <v>106.01</v>
      </c>
      <c r="I130" s="1">
        <v>52.0</v>
      </c>
      <c r="J130" s="1" t="s">
        <v>14</v>
      </c>
      <c r="K130" s="1">
        <v>2.0</v>
      </c>
    </row>
    <row r="131">
      <c r="A131" s="1" t="s">
        <v>163</v>
      </c>
      <c r="B131" s="1" t="s">
        <v>75</v>
      </c>
      <c r="C131" s="1" t="s">
        <v>157</v>
      </c>
      <c r="D131" s="3">
        <v>45513.0</v>
      </c>
      <c r="E131" s="3">
        <v>45513.0</v>
      </c>
      <c r="F131" s="1">
        <v>1.0</v>
      </c>
      <c r="G131" s="1">
        <v>120.95</v>
      </c>
      <c r="H131" s="1">
        <v>120.95</v>
      </c>
      <c r="I131" s="1">
        <v>704.0</v>
      </c>
      <c r="J131" s="1" t="s">
        <v>17</v>
      </c>
      <c r="K131" s="1">
        <v>2.0</v>
      </c>
    </row>
    <row r="132">
      <c r="A132" s="1" t="s">
        <v>164</v>
      </c>
      <c r="B132" s="1" t="s">
        <v>19</v>
      </c>
      <c r="C132" s="1" t="s">
        <v>157</v>
      </c>
      <c r="D132" s="3">
        <v>45986.0</v>
      </c>
      <c r="E132" s="3">
        <v>45986.0</v>
      </c>
      <c r="F132" s="1">
        <v>1.0</v>
      </c>
      <c r="G132" s="1">
        <v>77.5</v>
      </c>
      <c r="H132" s="1">
        <v>77.5</v>
      </c>
      <c r="I132" s="1">
        <v>231.0</v>
      </c>
      <c r="J132" s="1" t="s">
        <v>14</v>
      </c>
      <c r="K132" s="1">
        <v>2.0</v>
      </c>
    </row>
    <row r="133">
      <c r="A133" s="1" t="s">
        <v>165</v>
      </c>
      <c r="B133" s="1" t="s">
        <v>27</v>
      </c>
      <c r="C133" s="1" t="s">
        <v>157</v>
      </c>
      <c r="D133" s="3">
        <v>46042.0</v>
      </c>
      <c r="E133" s="3">
        <v>46217.0</v>
      </c>
      <c r="F133" s="1">
        <v>4.0</v>
      </c>
      <c r="G133" s="1">
        <v>243.32</v>
      </c>
      <c r="H133" s="1">
        <v>60.83</v>
      </c>
      <c r="I133" s="1">
        <v>0.0</v>
      </c>
      <c r="J133" s="1" t="s">
        <v>17</v>
      </c>
      <c r="K133" s="1">
        <v>2.0</v>
      </c>
    </row>
    <row r="134">
      <c r="A134" s="1" t="s">
        <v>166</v>
      </c>
      <c r="B134" s="1" t="s">
        <v>36</v>
      </c>
      <c r="C134" s="1" t="s">
        <v>157</v>
      </c>
      <c r="D134" s="3">
        <v>45847.0</v>
      </c>
      <c r="E134" s="3">
        <v>45847.0</v>
      </c>
      <c r="F134" s="1">
        <v>1.0</v>
      </c>
      <c r="G134" s="1">
        <v>97.62</v>
      </c>
      <c r="H134" s="1">
        <v>97.62</v>
      </c>
      <c r="I134" s="1">
        <v>370.0</v>
      </c>
      <c r="J134" s="1" t="s">
        <v>17</v>
      </c>
      <c r="K134" s="1">
        <v>2.0</v>
      </c>
    </row>
    <row r="135">
      <c r="A135" s="1" t="s">
        <v>167</v>
      </c>
      <c r="B135" s="1" t="s">
        <v>22</v>
      </c>
      <c r="C135" s="1" t="s">
        <v>157</v>
      </c>
      <c r="D135" s="3">
        <v>45793.0</v>
      </c>
      <c r="E135" s="3">
        <v>45793.0</v>
      </c>
      <c r="F135" s="1">
        <v>1.0</v>
      </c>
      <c r="G135" s="1">
        <v>71.36</v>
      </c>
      <c r="H135" s="1">
        <v>71.36</v>
      </c>
      <c r="I135" s="1">
        <v>424.0</v>
      </c>
      <c r="J135" s="1" t="s">
        <v>17</v>
      </c>
      <c r="K135" s="1">
        <v>2.0</v>
      </c>
    </row>
    <row r="136">
      <c r="A136" s="1" t="s">
        <v>168</v>
      </c>
      <c r="B136" s="1" t="s">
        <v>12</v>
      </c>
      <c r="C136" s="1" t="s">
        <v>157</v>
      </c>
      <c r="D136" s="3">
        <v>45723.0</v>
      </c>
      <c r="E136" s="3">
        <v>45723.0</v>
      </c>
      <c r="F136" s="1">
        <v>1.0</v>
      </c>
      <c r="G136" s="1">
        <v>68.38</v>
      </c>
      <c r="H136" s="1">
        <v>68.38</v>
      </c>
      <c r="I136" s="1">
        <v>494.0</v>
      </c>
      <c r="J136" s="1" t="s">
        <v>17</v>
      </c>
      <c r="K136" s="1">
        <v>2.0</v>
      </c>
    </row>
    <row r="137">
      <c r="A137" s="1" t="s">
        <v>169</v>
      </c>
      <c r="B137" s="1" t="s">
        <v>27</v>
      </c>
      <c r="C137" s="1" t="s">
        <v>157</v>
      </c>
      <c r="D137" s="3">
        <v>46137.0</v>
      </c>
      <c r="E137" s="3">
        <v>46137.0</v>
      </c>
      <c r="F137" s="1">
        <v>1.0</v>
      </c>
      <c r="G137" s="1">
        <v>79.5</v>
      </c>
      <c r="H137" s="1">
        <v>79.5</v>
      </c>
      <c r="I137" s="1">
        <v>80.0</v>
      </c>
      <c r="J137" s="1" t="s">
        <v>17</v>
      </c>
      <c r="K137" s="1">
        <v>2.0</v>
      </c>
    </row>
    <row r="138">
      <c r="A138" s="1" t="s">
        <v>170</v>
      </c>
      <c r="B138" s="1" t="s">
        <v>12</v>
      </c>
      <c r="C138" s="1" t="s">
        <v>157</v>
      </c>
      <c r="D138" s="3">
        <v>45861.0</v>
      </c>
      <c r="E138" s="3">
        <v>45861.0</v>
      </c>
      <c r="F138" s="1">
        <v>1.0</v>
      </c>
      <c r="G138" s="1">
        <v>112.93</v>
      </c>
      <c r="H138" s="1">
        <v>112.93</v>
      </c>
      <c r="I138" s="1">
        <v>356.0</v>
      </c>
      <c r="J138" s="1" t="s">
        <v>17</v>
      </c>
      <c r="K138" s="1">
        <v>2.0</v>
      </c>
    </row>
    <row r="139">
      <c r="A139" s="1" t="s">
        <v>171</v>
      </c>
      <c r="B139" s="1" t="s">
        <v>75</v>
      </c>
      <c r="C139" s="1" t="s">
        <v>157</v>
      </c>
      <c r="D139" s="3">
        <v>45819.0</v>
      </c>
      <c r="E139" s="3">
        <v>45819.0</v>
      </c>
      <c r="F139" s="1">
        <v>1.0</v>
      </c>
      <c r="G139" s="1">
        <v>127.73</v>
      </c>
      <c r="H139" s="1">
        <v>127.73</v>
      </c>
      <c r="I139" s="1">
        <v>398.0</v>
      </c>
      <c r="J139" s="1" t="s">
        <v>17</v>
      </c>
      <c r="K139" s="1">
        <v>2.0</v>
      </c>
    </row>
    <row r="140">
      <c r="A140" s="1" t="s">
        <v>172</v>
      </c>
      <c r="B140" s="1" t="s">
        <v>19</v>
      </c>
      <c r="C140" s="1" t="s">
        <v>157</v>
      </c>
      <c r="D140" s="3">
        <v>46169.0</v>
      </c>
      <c r="E140" s="3">
        <v>46169.0</v>
      </c>
      <c r="F140" s="1">
        <v>1.0</v>
      </c>
      <c r="G140" s="1">
        <v>105.21</v>
      </c>
      <c r="H140" s="1">
        <v>105.21</v>
      </c>
      <c r="I140" s="1">
        <v>48.0</v>
      </c>
      <c r="J140" s="1" t="s">
        <v>17</v>
      </c>
      <c r="K140" s="1">
        <v>1.0</v>
      </c>
    </row>
    <row r="141">
      <c r="A141" s="1" t="s">
        <v>173</v>
      </c>
      <c r="B141" s="1" t="s">
        <v>34</v>
      </c>
      <c r="C141" s="1" t="s">
        <v>157</v>
      </c>
      <c r="D141" s="3">
        <v>45624.0</v>
      </c>
      <c r="E141" s="3">
        <v>45624.0</v>
      </c>
      <c r="F141" s="1">
        <v>1.0</v>
      </c>
      <c r="G141" s="1">
        <v>60.63</v>
      </c>
      <c r="H141" s="1">
        <v>60.63</v>
      </c>
      <c r="I141" s="1">
        <v>593.0</v>
      </c>
      <c r="J141" s="1" t="s">
        <v>17</v>
      </c>
      <c r="K141" s="1">
        <v>1.0</v>
      </c>
    </row>
    <row r="142">
      <c r="A142" s="1" t="s">
        <v>174</v>
      </c>
      <c r="B142" s="1" t="s">
        <v>12</v>
      </c>
      <c r="C142" s="1" t="s">
        <v>157</v>
      </c>
      <c r="D142" s="3">
        <v>45977.0</v>
      </c>
      <c r="E142" s="3">
        <v>45977.0</v>
      </c>
      <c r="F142" s="1">
        <v>1.0</v>
      </c>
      <c r="G142" s="1">
        <v>69.2</v>
      </c>
      <c r="H142" s="1">
        <v>69.2</v>
      </c>
      <c r="I142" s="1">
        <v>240.0</v>
      </c>
      <c r="J142" s="1" t="s">
        <v>17</v>
      </c>
      <c r="K142" s="1">
        <v>1.0</v>
      </c>
    </row>
    <row r="143">
      <c r="A143" s="1" t="s">
        <v>175</v>
      </c>
      <c r="B143" s="1" t="s">
        <v>29</v>
      </c>
      <c r="C143" s="1" t="s">
        <v>157</v>
      </c>
      <c r="D143" s="3">
        <v>46152.0</v>
      </c>
      <c r="E143" s="3">
        <v>46152.0</v>
      </c>
      <c r="F143" s="1">
        <v>1.0</v>
      </c>
      <c r="G143" s="1">
        <v>45.95</v>
      </c>
      <c r="H143" s="1">
        <v>45.95</v>
      </c>
      <c r="I143" s="1">
        <v>65.0</v>
      </c>
      <c r="J143" s="1" t="s">
        <v>17</v>
      </c>
      <c r="K143" s="1">
        <v>1.0</v>
      </c>
    </row>
    <row r="144">
      <c r="A144" s="1" t="s">
        <v>176</v>
      </c>
      <c r="B144" s="1" t="s">
        <v>24</v>
      </c>
      <c r="C144" s="1" t="s">
        <v>157</v>
      </c>
      <c r="D144" s="3">
        <v>45881.0</v>
      </c>
      <c r="E144" s="3">
        <v>45881.0</v>
      </c>
      <c r="F144" s="1">
        <v>1.0</v>
      </c>
      <c r="G144" s="1">
        <v>73.06</v>
      </c>
      <c r="H144" s="1">
        <v>73.06</v>
      </c>
      <c r="I144" s="1">
        <v>336.0</v>
      </c>
      <c r="J144" s="1" t="s">
        <v>17</v>
      </c>
      <c r="K144" s="1">
        <v>1.0</v>
      </c>
    </row>
    <row r="145">
      <c r="A145" s="1" t="s">
        <v>177</v>
      </c>
      <c r="B145" s="1" t="s">
        <v>12</v>
      </c>
      <c r="C145" s="1" t="s">
        <v>157</v>
      </c>
      <c r="D145" s="3">
        <v>45586.0</v>
      </c>
      <c r="E145" s="3">
        <v>45586.0</v>
      </c>
      <c r="F145" s="1">
        <v>1.0</v>
      </c>
      <c r="G145" s="1">
        <v>117.45</v>
      </c>
      <c r="H145" s="1">
        <v>117.45</v>
      </c>
      <c r="I145" s="1">
        <v>631.0</v>
      </c>
      <c r="J145" s="1" t="s">
        <v>14</v>
      </c>
      <c r="K145" s="1">
        <v>1.0</v>
      </c>
    </row>
    <row r="146">
      <c r="A146" s="1" t="s">
        <v>178</v>
      </c>
      <c r="B146" s="1" t="s">
        <v>96</v>
      </c>
      <c r="C146" s="1" t="s">
        <v>157</v>
      </c>
      <c r="D146" s="3">
        <v>46045.0</v>
      </c>
      <c r="E146" s="3">
        <v>46045.0</v>
      </c>
      <c r="F146" s="1">
        <v>1.0</v>
      </c>
      <c r="G146" s="1">
        <v>96.52</v>
      </c>
      <c r="H146" s="1">
        <v>96.52</v>
      </c>
      <c r="I146" s="1">
        <v>172.0</v>
      </c>
      <c r="J146" s="1" t="s">
        <v>17</v>
      </c>
      <c r="K146" s="1">
        <v>1.0</v>
      </c>
    </row>
    <row r="147">
      <c r="A147" s="1" t="s">
        <v>179</v>
      </c>
      <c r="B147" s="1" t="s">
        <v>16</v>
      </c>
      <c r="C147" s="1" t="s">
        <v>157</v>
      </c>
      <c r="D147" s="3">
        <v>46127.0</v>
      </c>
      <c r="E147" s="3">
        <v>46127.0</v>
      </c>
      <c r="F147" s="1">
        <v>1.0</v>
      </c>
      <c r="G147" s="1">
        <v>112.37</v>
      </c>
      <c r="H147" s="1">
        <v>112.37</v>
      </c>
      <c r="I147" s="1">
        <v>90.0</v>
      </c>
      <c r="J147" s="1" t="s">
        <v>17</v>
      </c>
      <c r="K147" s="1">
        <v>1.0</v>
      </c>
    </row>
    <row r="148">
      <c r="A148" s="1" t="s">
        <v>180</v>
      </c>
      <c r="B148" s="1" t="s">
        <v>19</v>
      </c>
      <c r="C148" s="1" t="s">
        <v>157</v>
      </c>
      <c r="D148" s="3">
        <v>46168.0</v>
      </c>
      <c r="E148" s="3">
        <v>46168.0</v>
      </c>
      <c r="F148" s="1">
        <v>1.0</v>
      </c>
      <c r="G148" s="1">
        <v>70.28</v>
      </c>
      <c r="H148" s="1">
        <v>70.28</v>
      </c>
      <c r="I148" s="1">
        <v>49.0</v>
      </c>
      <c r="J148" s="1" t="s">
        <v>17</v>
      </c>
      <c r="K148" s="1">
        <v>1.0</v>
      </c>
    </row>
    <row r="149">
      <c r="A149" s="1" t="s">
        <v>181</v>
      </c>
      <c r="B149" s="1" t="s">
        <v>16</v>
      </c>
      <c r="C149" s="1" t="s">
        <v>157</v>
      </c>
      <c r="D149" s="3">
        <v>45785.0</v>
      </c>
      <c r="E149" s="3">
        <v>45785.0</v>
      </c>
      <c r="F149" s="1">
        <v>1.0</v>
      </c>
      <c r="G149" s="1">
        <v>63.53</v>
      </c>
      <c r="H149" s="1">
        <v>63.53</v>
      </c>
      <c r="I149" s="1">
        <v>432.0</v>
      </c>
      <c r="J149" s="1" t="s">
        <v>14</v>
      </c>
      <c r="K149" s="1">
        <v>1.0</v>
      </c>
    </row>
    <row r="150">
      <c r="A150" s="1" t="s">
        <v>182</v>
      </c>
      <c r="B150" s="1" t="s">
        <v>27</v>
      </c>
      <c r="C150" s="1" t="s">
        <v>157</v>
      </c>
      <c r="D150" s="3">
        <v>45875.0</v>
      </c>
      <c r="E150" s="3">
        <v>45875.0</v>
      </c>
      <c r="F150" s="1">
        <v>1.0</v>
      </c>
      <c r="G150" s="1">
        <v>76.68</v>
      </c>
      <c r="H150" s="1">
        <v>76.68</v>
      </c>
      <c r="I150" s="1">
        <v>342.0</v>
      </c>
      <c r="J150" s="1" t="s">
        <v>17</v>
      </c>
      <c r="K150" s="1">
        <v>1.0</v>
      </c>
    </row>
    <row r="151">
      <c r="A151" s="1" t="s">
        <v>183</v>
      </c>
      <c r="B151" s="1" t="s">
        <v>19</v>
      </c>
      <c r="C151" s="1" t="s">
        <v>157</v>
      </c>
      <c r="D151" s="3">
        <v>45797.0</v>
      </c>
      <c r="E151" s="3">
        <v>45797.0</v>
      </c>
      <c r="F151" s="1">
        <v>1.0</v>
      </c>
      <c r="G151" s="1">
        <v>55.75</v>
      </c>
      <c r="H151" s="1">
        <v>55.75</v>
      </c>
      <c r="I151" s="1">
        <v>420.0</v>
      </c>
      <c r="J151" s="1" t="s">
        <v>17</v>
      </c>
      <c r="K151" s="1">
        <v>1.0</v>
      </c>
    </row>
    <row r="152">
      <c r="A152" s="1" t="s">
        <v>184</v>
      </c>
      <c r="B152" s="1" t="s">
        <v>22</v>
      </c>
      <c r="C152" s="1" t="s">
        <v>157</v>
      </c>
      <c r="D152" s="3">
        <v>45737.0</v>
      </c>
      <c r="E152" s="3">
        <v>45737.0</v>
      </c>
      <c r="F152" s="1">
        <v>1.0</v>
      </c>
      <c r="G152" s="1">
        <v>51.05</v>
      </c>
      <c r="H152" s="1">
        <v>51.05</v>
      </c>
      <c r="I152" s="1">
        <v>480.0</v>
      </c>
      <c r="J152" s="1" t="s">
        <v>17</v>
      </c>
      <c r="K152" s="1">
        <v>1.0</v>
      </c>
    </row>
    <row r="153">
      <c r="A153" s="1" t="s">
        <v>185</v>
      </c>
      <c r="B153" s="1" t="s">
        <v>29</v>
      </c>
      <c r="C153" s="1" t="s">
        <v>157</v>
      </c>
      <c r="D153" s="3">
        <v>45580.0</v>
      </c>
      <c r="E153" s="3">
        <v>45580.0</v>
      </c>
      <c r="F153" s="1">
        <v>1.0</v>
      </c>
      <c r="G153" s="1">
        <v>105.14</v>
      </c>
      <c r="H153" s="1">
        <v>105.14</v>
      </c>
      <c r="I153" s="1">
        <v>637.0</v>
      </c>
      <c r="J153" s="1" t="s">
        <v>17</v>
      </c>
      <c r="K153" s="1">
        <v>1.0</v>
      </c>
    </row>
    <row r="154">
      <c r="A154" s="1" t="s">
        <v>186</v>
      </c>
      <c r="B154" s="1" t="s">
        <v>96</v>
      </c>
      <c r="C154" s="1" t="s">
        <v>157</v>
      </c>
      <c r="D154" s="3">
        <v>46012.0</v>
      </c>
      <c r="E154" s="3">
        <v>46012.0</v>
      </c>
      <c r="F154" s="1">
        <v>1.0</v>
      </c>
      <c r="G154" s="1">
        <v>102.58</v>
      </c>
      <c r="H154" s="1">
        <v>102.58</v>
      </c>
      <c r="I154" s="1">
        <v>205.0</v>
      </c>
      <c r="J154" s="1" t="s">
        <v>17</v>
      </c>
      <c r="K154" s="1">
        <v>1.0</v>
      </c>
    </row>
    <row r="155">
      <c r="A155" s="1" t="s">
        <v>187</v>
      </c>
      <c r="B155" s="1" t="s">
        <v>96</v>
      </c>
      <c r="C155" s="1" t="s">
        <v>157</v>
      </c>
      <c r="D155" s="3">
        <v>45773.0</v>
      </c>
      <c r="E155" s="3">
        <v>46217.0</v>
      </c>
      <c r="F155" s="1">
        <v>4.0</v>
      </c>
      <c r="G155" s="1">
        <v>314.84</v>
      </c>
      <c r="H155" s="1">
        <v>78.71</v>
      </c>
      <c r="I155" s="1">
        <v>0.0</v>
      </c>
      <c r="J155" s="1" t="s">
        <v>17</v>
      </c>
      <c r="K155" s="1">
        <v>1.0</v>
      </c>
    </row>
    <row r="156">
      <c r="A156" s="1" t="s">
        <v>188</v>
      </c>
      <c r="B156" s="1" t="s">
        <v>22</v>
      </c>
      <c r="C156" s="1" t="s">
        <v>157</v>
      </c>
      <c r="D156" s="3">
        <v>45742.0</v>
      </c>
      <c r="E156" s="3">
        <v>45742.0</v>
      </c>
      <c r="F156" s="1">
        <v>1.0</v>
      </c>
      <c r="G156" s="1">
        <v>125.62</v>
      </c>
      <c r="H156" s="1">
        <v>125.62</v>
      </c>
      <c r="I156" s="1">
        <v>475.0</v>
      </c>
      <c r="J156" s="1" t="s">
        <v>17</v>
      </c>
      <c r="K156" s="1">
        <v>1.0</v>
      </c>
    </row>
    <row r="157">
      <c r="A157" s="1" t="s">
        <v>189</v>
      </c>
      <c r="B157" s="1" t="s">
        <v>12</v>
      </c>
      <c r="C157" s="1" t="s">
        <v>157</v>
      </c>
      <c r="D157" s="3">
        <v>45975.0</v>
      </c>
      <c r="E157" s="3">
        <v>45975.0</v>
      </c>
      <c r="F157" s="1">
        <v>1.0</v>
      </c>
      <c r="G157" s="1">
        <v>107.09</v>
      </c>
      <c r="H157" s="1">
        <v>107.09</v>
      </c>
      <c r="I157" s="1">
        <v>242.0</v>
      </c>
      <c r="J157" s="1" t="s">
        <v>14</v>
      </c>
      <c r="K157" s="1">
        <v>1.0</v>
      </c>
    </row>
    <row r="158">
      <c r="A158" s="1" t="s">
        <v>190</v>
      </c>
      <c r="B158" s="1" t="s">
        <v>31</v>
      </c>
      <c r="C158" s="1" t="s">
        <v>157</v>
      </c>
      <c r="D158" s="3">
        <v>46150.0</v>
      </c>
      <c r="E158" s="3">
        <v>46150.0</v>
      </c>
      <c r="F158" s="1">
        <v>1.0</v>
      </c>
      <c r="G158" s="1">
        <v>69.64</v>
      </c>
      <c r="H158" s="1">
        <v>69.64</v>
      </c>
      <c r="I158" s="1">
        <v>67.0</v>
      </c>
      <c r="J158" s="1" t="s">
        <v>17</v>
      </c>
      <c r="K158" s="1">
        <v>1.0</v>
      </c>
    </row>
    <row r="159">
      <c r="A159" s="1" t="s">
        <v>191</v>
      </c>
      <c r="B159" s="1" t="s">
        <v>16</v>
      </c>
      <c r="C159" s="1" t="s">
        <v>157</v>
      </c>
      <c r="D159" s="3">
        <v>46051.0</v>
      </c>
      <c r="E159" s="3">
        <v>46051.0</v>
      </c>
      <c r="F159" s="1">
        <v>1.0</v>
      </c>
      <c r="G159" s="1">
        <v>104.69</v>
      </c>
      <c r="H159" s="1">
        <v>104.69</v>
      </c>
      <c r="I159" s="1">
        <v>166.0</v>
      </c>
      <c r="J159" s="1" t="s">
        <v>17</v>
      </c>
      <c r="K159" s="1">
        <v>1.0</v>
      </c>
    </row>
    <row r="160">
      <c r="A160" s="1" t="s">
        <v>192</v>
      </c>
      <c r="B160" s="1" t="s">
        <v>16</v>
      </c>
      <c r="C160" s="1" t="s">
        <v>157</v>
      </c>
      <c r="D160" s="3">
        <v>45502.0</v>
      </c>
      <c r="E160" s="3">
        <v>45502.0</v>
      </c>
      <c r="F160" s="1">
        <v>1.0</v>
      </c>
      <c r="G160" s="1">
        <v>125.36</v>
      </c>
      <c r="H160" s="1">
        <v>125.36</v>
      </c>
      <c r="I160" s="1">
        <v>715.0</v>
      </c>
      <c r="J160" s="1" t="s">
        <v>17</v>
      </c>
      <c r="K160" s="1">
        <v>1.0</v>
      </c>
    </row>
    <row r="161">
      <c r="A161" s="1" t="s">
        <v>193</v>
      </c>
      <c r="B161" s="1" t="s">
        <v>24</v>
      </c>
      <c r="C161" s="1" t="s">
        <v>157</v>
      </c>
      <c r="D161" s="3">
        <v>45727.0</v>
      </c>
      <c r="E161" s="3">
        <v>45727.0</v>
      </c>
      <c r="F161" s="1">
        <v>1.0</v>
      </c>
      <c r="G161" s="1">
        <v>65.11</v>
      </c>
      <c r="H161" s="1">
        <v>65.11</v>
      </c>
      <c r="I161" s="1">
        <v>490.0</v>
      </c>
      <c r="J161" s="1" t="s">
        <v>17</v>
      </c>
      <c r="K161" s="1">
        <v>0.0</v>
      </c>
    </row>
    <row r="162">
      <c r="A162" s="1" t="s">
        <v>194</v>
      </c>
      <c r="B162" s="1" t="s">
        <v>75</v>
      </c>
      <c r="C162" s="1" t="s">
        <v>157</v>
      </c>
      <c r="D162" s="3">
        <v>45606.0</v>
      </c>
      <c r="E162" s="3">
        <v>46178.0</v>
      </c>
      <c r="F162" s="1">
        <v>8.0</v>
      </c>
      <c r="G162" s="1">
        <v>456.08</v>
      </c>
      <c r="H162" s="1">
        <v>57.01</v>
      </c>
      <c r="I162" s="1">
        <v>39.0</v>
      </c>
      <c r="J162" s="1" t="s">
        <v>17</v>
      </c>
      <c r="K162" s="1">
        <v>0.0</v>
      </c>
    </row>
    <row r="163">
      <c r="A163" s="1" t="s">
        <v>195</v>
      </c>
      <c r="B163" s="1" t="s">
        <v>24</v>
      </c>
      <c r="C163" s="1" t="s">
        <v>157</v>
      </c>
      <c r="D163" s="3">
        <v>46119.0</v>
      </c>
      <c r="E163" s="3">
        <v>46119.0</v>
      </c>
      <c r="F163" s="1">
        <v>1.0</v>
      </c>
      <c r="G163" s="1">
        <v>82.32</v>
      </c>
      <c r="H163" s="1">
        <v>82.32</v>
      </c>
      <c r="I163" s="1">
        <v>98.0</v>
      </c>
      <c r="J163" s="1" t="s">
        <v>17</v>
      </c>
      <c r="K163" s="1">
        <v>0.0</v>
      </c>
    </row>
    <row r="164">
      <c r="A164" s="1" t="s">
        <v>196</v>
      </c>
      <c r="B164" s="1" t="s">
        <v>75</v>
      </c>
      <c r="C164" s="1" t="s">
        <v>157</v>
      </c>
      <c r="D164" s="3">
        <v>45617.0</v>
      </c>
      <c r="E164" s="3">
        <v>45617.0</v>
      </c>
      <c r="F164" s="1">
        <v>1.0</v>
      </c>
      <c r="G164" s="1">
        <v>78.84</v>
      </c>
      <c r="H164" s="1">
        <v>78.84</v>
      </c>
      <c r="I164" s="1">
        <v>600.0</v>
      </c>
      <c r="J164" s="1" t="s">
        <v>14</v>
      </c>
      <c r="K164" s="1">
        <v>0.0</v>
      </c>
    </row>
    <row r="165">
      <c r="A165" s="1" t="s">
        <v>197</v>
      </c>
      <c r="B165" s="1" t="s">
        <v>22</v>
      </c>
      <c r="C165" s="1" t="s">
        <v>157</v>
      </c>
      <c r="D165" s="3">
        <v>45807.0</v>
      </c>
      <c r="E165" s="3">
        <v>45807.0</v>
      </c>
      <c r="F165" s="1">
        <v>1.0</v>
      </c>
      <c r="G165" s="1">
        <v>94.55</v>
      </c>
      <c r="H165" s="1">
        <v>94.55</v>
      </c>
      <c r="I165" s="1">
        <v>410.0</v>
      </c>
      <c r="J165" s="1" t="s">
        <v>17</v>
      </c>
      <c r="K165" s="1">
        <v>0.0</v>
      </c>
    </row>
    <row r="166">
      <c r="A166" s="1" t="s">
        <v>198</v>
      </c>
      <c r="B166" s="1" t="s">
        <v>36</v>
      </c>
      <c r="C166" s="1" t="s">
        <v>157</v>
      </c>
      <c r="D166" s="3">
        <v>46111.0</v>
      </c>
      <c r="E166" s="3">
        <v>46111.0</v>
      </c>
      <c r="F166" s="1">
        <v>1.0</v>
      </c>
      <c r="G166" s="1">
        <v>45.78</v>
      </c>
      <c r="H166" s="1">
        <v>45.78</v>
      </c>
      <c r="I166" s="1">
        <v>106.0</v>
      </c>
      <c r="J166" s="1" t="s">
        <v>14</v>
      </c>
      <c r="K166" s="1">
        <v>0.0</v>
      </c>
    </row>
    <row r="167">
      <c r="A167" s="1" t="s">
        <v>199</v>
      </c>
      <c r="B167" s="1" t="s">
        <v>75</v>
      </c>
      <c r="C167" s="1" t="s">
        <v>157</v>
      </c>
      <c r="D167" s="3">
        <v>45497.0</v>
      </c>
      <c r="E167" s="3">
        <v>45497.0</v>
      </c>
      <c r="F167" s="1">
        <v>1.0</v>
      </c>
      <c r="G167" s="1">
        <v>81.77</v>
      </c>
      <c r="H167" s="1">
        <v>81.77</v>
      </c>
      <c r="I167" s="1">
        <v>720.0</v>
      </c>
      <c r="J167" s="1" t="s">
        <v>17</v>
      </c>
      <c r="K167" s="1">
        <v>0.0</v>
      </c>
    </row>
    <row r="168">
      <c r="A168" s="1" t="s">
        <v>200</v>
      </c>
      <c r="B168" s="1" t="s">
        <v>31</v>
      </c>
      <c r="C168" s="1" t="s">
        <v>157</v>
      </c>
      <c r="D168" s="3">
        <v>45698.0</v>
      </c>
      <c r="E168" s="3">
        <v>45698.0</v>
      </c>
      <c r="F168" s="1">
        <v>1.0</v>
      </c>
      <c r="G168" s="1">
        <v>88.47</v>
      </c>
      <c r="H168" s="1">
        <v>88.47</v>
      </c>
      <c r="I168" s="1">
        <v>519.0</v>
      </c>
      <c r="J168" s="1" t="s">
        <v>17</v>
      </c>
      <c r="K168" s="1">
        <v>0.0</v>
      </c>
    </row>
    <row r="169">
      <c r="A169" s="1" t="s">
        <v>201</v>
      </c>
      <c r="B169" s="1" t="s">
        <v>24</v>
      </c>
      <c r="C169" s="1" t="s">
        <v>157</v>
      </c>
      <c r="D169" s="3">
        <v>45877.0</v>
      </c>
      <c r="E169" s="3">
        <v>45877.0</v>
      </c>
      <c r="F169" s="1">
        <v>1.0</v>
      </c>
      <c r="G169" s="1">
        <v>64.77</v>
      </c>
      <c r="H169" s="1">
        <v>64.77</v>
      </c>
      <c r="I169" s="1">
        <v>340.0</v>
      </c>
      <c r="J169" s="1" t="s">
        <v>17</v>
      </c>
      <c r="K169" s="1">
        <v>0.0</v>
      </c>
    </row>
    <row r="170">
      <c r="A170" s="1" t="s">
        <v>202</v>
      </c>
      <c r="B170" s="1" t="s">
        <v>24</v>
      </c>
      <c r="C170" s="1" t="s">
        <v>157</v>
      </c>
      <c r="D170" s="3">
        <v>45482.0</v>
      </c>
      <c r="E170" s="3">
        <v>45482.0</v>
      </c>
      <c r="F170" s="1">
        <v>1.0</v>
      </c>
      <c r="G170" s="1">
        <v>94.28</v>
      </c>
      <c r="H170" s="1">
        <v>94.28</v>
      </c>
      <c r="I170" s="1">
        <v>735.0</v>
      </c>
      <c r="J170" s="1" t="s">
        <v>17</v>
      </c>
      <c r="K170" s="1">
        <v>0.0</v>
      </c>
    </row>
    <row r="171">
      <c r="A171" s="1" t="s">
        <v>203</v>
      </c>
      <c r="B171" s="1" t="s">
        <v>27</v>
      </c>
      <c r="C171" s="1" t="s">
        <v>157</v>
      </c>
      <c r="D171" s="3">
        <v>45763.0</v>
      </c>
      <c r="E171" s="3">
        <v>46109.0</v>
      </c>
      <c r="F171" s="1">
        <v>8.0</v>
      </c>
      <c r="G171" s="1">
        <v>696.72</v>
      </c>
      <c r="H171" s="1">
        <v>87.09</v>
      </c>
      <c r="I171" s="1">
        <v>108.0</v>
      </c>
      <c r="J171" s="1" t="s">
        <v>17</v>
      </c>
      <c r="K171" s="1">
        <v>0.0</v>
      </c>
    </row>
    <row r="172">
      <c r="A172" s="1" t="s">
        <v>204</v>
      </c>
      <c r="B172" s="1" t="s">
        <v>34</v>
      </c>
      <c r="C172" s="1" t="s">
        <v>157</v>
      </c>
      <c r="D172" s="3">
        <v>45708.0</v>
      </c>
      <c r="E172" s="3">
        <v>46021.0</v>
      </c>
      <c r="F172" s="1">
        <v>6.0</v>
      </c>
      <c r="G172" s="1">
        <v>463.08</v>
      </c>
      <c r="H172" s="1">
        <v>77.18</v>
      </c>
      <c r="I172" s="1">
        <v>196.0</v>
      </c>
      <c r="J172" s="1" t="s">
        <v>17</v>
      </c>
      <c r="K172" s="1">
        <v>0.0</v>
      </c>
    </row>
    <row r="173">
      <c r="A173" s="1" t="s">
        <v>205</v>
      </c>
      <c r="B173" s="1" t="s">
        <v>22</v>
      </c>
      <c r="C173" s="1" t="s">
        <v>157</v>
      </c>
      <c r="D173" s="3">
        <v>45920.0</v>
      </c>
      <c r="E173" s="3">
        <v>45920.0</v>
      </c>
      <c r="F173" s="1">
        <v>1.0</v>
      </c>
      <c r="G173" s="1">
        <v>95.06</v>
      </c>
      <c r="H173" s="1">
        <v>95.06</v>
      </c>
      <c r="I173" s="1">
        <v>297.0</v>
      </c>
      <c r="J173" s="1" t="s">
        <v>14</v>
      </c>
      <c r="K173" s="1">
        <v>0.0</v>
      </c>
    </row>
    <row r="174">
      <c r="A174" s="1" t="s">
        <v>206</v>
      </c>
      <c r="B174" s="1" t="s">
        <v>75</v>
      </c>
      <c r="C174" s="1" t="s">
        <v>157</v>
      </c>
      <c r="D174" s="3">
        <v>45878.0</v>
      </c>
      <c r="E174" s="3">
        <v>46073.0</v>
      </c>
      <c r="F174" s="1">
        <v>2.0</v>
      </c>
      <c r="G174" s="1">
        <v>212.34</v>
      </c>
      <c r="H174" s="1">
        <v>106.17</v>
      </c>
      <c r="I174" s="1">
        <v>144.0</v>
      </c>
      <c r="J174" s="1" t="s">
        <v>17</v>
      </c>
      <c r="K174" s="1">
        <v>0.0</v>
      </c>
    </row>
    <row r="175">
      <c r="A175" s="1" t="s">
        <v>207</v>
      </c>
      <c r="B175" s="1" t="s">
        <v>31</v>
      </c>
      <c r="C175" s="1" t="s">
        <v>157</v>
      </c>
      <c r="D175" s="3">
        <v>46136.0</v>
      </c>
      <c r="E175" s="3">
        <v>46217.0</v>
      </c>
      <c r="F175" s="1">
        <v>3.0</v>
      </c>
      <c r="G175" s="1">
        <v>172.8</v>
      </c>
      <c r="H175" s="1">
        <v>57.6</v>
      </c>
      <c r="I175" s="1">
        <v>0.0</v>
      </c>
      <c r="J175" s="1" t="s">
        <v>14</v>
      </c>
      <c r="K175" s="1">
        <v>0.0</v>
      </c>
    </row>
    <row r="176">
      <c r="A176" s="1" t="s">
        <v>208</v>
      </c>
      <c r="B176" s="1" t="s">
        <v>31</v>
      </c>
      <c r="C176" s="1" t="s">
        <v>157</v>
      </c>
      <c r="D176" s="3">
        <v>45838.0</v>
      </c>
      <c r="E176" s="3">
        <v>45838.0</v>
      </c>
      <c r="F176" s="1">
        <v>1.0</v>
      </c>
      <c r="G176" s="1">
        <v>98.65</v>
      </c>
      <c r="H176" s="1">
        <v>98.65</v>
      </c>
      <c r="I176" s="1">
        <v>379.0</v>
      </c>
      <c r="J176" s="1" t="s">
        <v>14</v>
      </c>
      <c r="K176" s="1">
        <v>0.0</v>
      </c>
    </row>
    <row r="177">
      <c r="A177" s="1" t="s">
        <v>209</v>
      </c>
      <c r="B177" s="1" t="s">
        <v>29</v>
      </c>
      <c r="C177" s="1" t="s">
        <v>157</v>
      </c>
      <c r="D177" s="3">
        <v>45691.0</v>
      </c>
      <c r="E177" s="3">
        <v>46095.0</v>
      </c>
      <c r="F177" s="1">
        <v>4.0</v>
      </c>
      <c r="G177" s="1">
        <v>376.24</v>
      </c>
      <c r="H177" s="1">
        <v>94.06</v>
      </c>
      <c r="I177" s="1">
        <v>122.0</v>
      </c>
      <c r="J177" s="1" t="s">
        <v>17</v>
      </c>
      <c r="K177" s="1">
        <v>0.0</v>
      </c>
    </row>
    <row r="178">
      <c r="A178" s="1" t="s">
        <v>210</v>
      </c>
      <c r="B178" s="1" t="s">
        <v>19</v>
      </c>
      <c r="C178" s="1" t="s">
        <v>157</v>
      </c>
      <c r="D178" s="3">
        <v>46015.0</v>
      </c>
      <c r="E178" s="3">
        <v>46015.0</v>
      </c>
      <c r="F178" s="1">
        <v>1.0</v>
      </c>
      <c r="G178" s="1">
        <v>86.8</v>
      </c>
      <c r="H178" s="1">
        <v>86.8</v>
      </c>
      <c r="I178" s="1">
        <v>202.0</v>
      </c>
      <c r="J178" s="1" t="s">
        <v>14</v>
      </c>
      <c r="K178" s="1">
        <v>0.0</v>
      </c>
    </row>
    <row r="179">
      <c r="A179" s="1" t="s">
        <v>211</v>
      </c>
      <c r="B179" s="1" t="s">
        <v>24</v>
      </c>
      <c r="C179" s="1" t="s">
        <v>157</v>
      </c>
      <c r="D179" s="3">
        <v>45963.0</v>
      </c>
      <c r="E179" s="3">
        <v>45963.0</v>
      </c>
      <c r="F179" s="1">
        <v>1.0</v>
      </c>
      <c r="G179" s="1">
        <v>65.48</v>
      </c>
      <c r="H179" s="1">
        <v>65.48</v>
      </c>
      <c r="I179" s="1">
        <v>254.0</v>
      </c>
      <c r="J179" s="1" t="s">
        <v>17</v>
      </c>
      <c r="K179" s="1">
        <v>0.0</v>
      </c>
    </row>
    <row r="180">
      <c r="A180" s="1" t="s">
        <v>212</v>
      </c>
      <c r="B180" s="1" t="s">
        <v>36</v>
      </c>
      <c r="C180" s="1" t="s">
        <v>157</v>
      </c>
      <c r="D180" s="3">
        <v>45902.0</v>
      </c>
      <c r="E180" s="3">
        <v>45902.0</v>
      </c>
      <c r="F180" s="1">
        <v>1.0</v>
      </c>
      <c r="G180" s="1">
        <v>71.84</v>
      </c>
      <c r="H180" s="1">
        <v>71.84</v>
      </c>
      <c r="I180" s="1">
        <v>315.0</v>
      </c>
      <c r="J180" s="1" t="s">
        <v>17</v>
      </c>
      <c r="K180" s="1">
        <v>0.0</v>
      </c>
    </row>
    <row r="181">
      <c r="A181" s="1" t="s">
        <v>213</v>
      </c>
      <c r="B181" s="1" t="s">
        <v>19</v>
      </c>
      <c r="C181" s="1" t="s">
        <v>157</v>
      </c>
      <c r="D181" s="3">
        <v>46050.0</v>
      </c>
      <c r="E181" s="3">
        <v>46050.0</v>
      </c>
      <c r="F181" s="1">
        <v>1.0</v>
      </c>
      <c r="G181" s="1">
        <v>64.48</v>
      </c>
      <c r="H181" s="1">
        <v>64.48</v>
      </c>
      <c r="I181" s="1">
        <v>167.0</v>
      </c>
      <c r="J181" s="1" t="s">
        <v>17</v>
      </c>
      <c r="K181" s="1">
        <v>0.0</v>
      </c>
    </row>
    <row r="182">
      <c r="A182" s="1" t="s">
        <v>214</v>
      </c>
      <c r="B182" s="1" t="s">
        <v>36</v>
      </c>
      <c r="C182" s="1" t="s">
        <v>157</v>
      </c>
      <c r="D182" s="3">
        <v>46109.0</v>
      </c>
      <c r="E182" s="3">
        <v>46109.0</v>
      </c>
      <c r="F182" s="1">
        <v>1.0</v>
      </c>
      <c r="G182" s="1">
        <v>46.88</v>
      </c>
      <c r="H182" s="1">
        <v>46.88</v>
      </c>
      <c r="I182" s="1">
        <v>108.0</v>
      </c>
      <c r="J182" s="1" t="s">
        <v>14</v>
      </c>
      <c r="K182" s="1">
        <v>0.0</v>
      </c>
    </row>
    <row r="183">
      <c r="A183" s="1" t="s">
        <v>215</v>
      </c>
      <c r="B183" s="1" t="s">
        <v>12</v>
      </c>
      <c r="C183" s="1" t="s">
        <v>157</v>
      </c>
      <c r="D183" s="3">
        <v>45913.0</v>
      </c>
      <c r="E183" s="3">
        <v>45913.0</v>
      </c>
      <c r="F183" s="1">
        <v>1.0</v>
      </c>
      <c r="G183" s="1">
        <v>59.04</v>
      </c>
      <c r="H183" s="1">
        <v>59.04</v>
      </c>
      <c r="I183" s="1">
        <v>304.0</v>
      </c>
      <c r="J183" s="1" t="s">
        <v>17</v>
      </c>
      <c r="K183" s="1">
        <v>0.0</v>
      </c>
    </row>
    <row r="184">
      <c r="A184" s="1" t="s">
        <v>216</v>
      </c>
      <c r="B184" s="1" t="s">
        <v>24</v>
      </c>
      <c r="C184" s="1" t="s">
        <v>157</v>
      </c>
      <c r="D184" s="3">
        <v>45588.0</v>
      </c>
      <c r="E184" s="3">
        <v>45982.0</v>
      </c>
      <c r="F184" s="1">
        <v>6.0</v>
      </c>
      <c r="G184" s="1">
        <v>529.86</v>
      </c>
      <c r="H184" s="1">
        <v>88.31</v>
      </c>
      <c r="I184" s="1">
        <v>235.0</v>
      </c>
      <c r="J184" s="1" t="s">
        <v>17</v>
      </c>
      <c r="K184" s="1">
        <v>0.0</v>
      </c>
    </row>
    <row r="185">
      <c r="A185" s="1" t="s">
        <v>217</v>
      </c>
      <c r="B185" s="1" t="s">
        <v>96</v>
      </c>
      <c r="C185" s="1" t="s">
        <v>157</v>
      </c>
      <c r="D185" s="3">
        <v>45806.0</v>
      </c>
      <c r="E185" s="3">
        <v>45806.0</v>
      </c>
      <c r="F185" s="1">
        <v>1.0</v>
      </c>
      <c r="G185" s="1">
        <v>107.67</v>
      </c>
      <c r="H185" s="1">
        <v>107.67</v>
      </c>
      <c r="I185" s="1">
        <v>411.0</v>
      </c>
      <c r="J185" s="1" t="s">
        <v>17</v>
      </c>
      <c r="K185" s="1">
        <v>0.0</v>
      </c>
    </row>
    <row r="186">
      <c r="A186" s="1" t="s">
        <v>218</v>
      </c>
      <c r="B186" s="1" t="s">
        <v>75</v>
      </c>
      <c r="C186" s="1" t="s">
        <v>157</v>
      </c>
      <c r="D186" s="3">
        <v>45934.0</v>
      </c>
      <c r="E186" s="3">
        <v>45934.0</v>
      </c>
      <c r="F186" s="1">
        <v>1.0</v>
      </c>
      <c r="G186" s="1">
        <v>71.51</v>
      </c>
      <c r="H186" s="1">
        <v>71.51</v>
      </c>
      <c r="I186" s="1">
        <v>283.0</v>
      </c>
      <c r="J186" s="1" t="s">
        <v>14</v>
      </c>
      <c r="K186" s="1">
        <v>0.0</v>
      </c>
    </row>
    <row r="187">
      <c r="A187" s="1" t="s">
        <v>219</v>
      </c>
      <c r="B187" s="1" t="s">
        <v>34</v>
      </c>
      <c r="C187" s="1" t="s">
        <v>157</v>
      </c>
      <c r="D187" s="3">
        <v>45527.0</v>
      </c>
      <c r="E187" s="3">
        <v>45527.0</v>
      </c>
      <c r="F187" s="1">
        <v>1.0</v>
      </c>
      <c r="G187" s="1">
        <v>83.25</v>
      </c>
      <c r="H187" s="1">
        <v>83.25</v>
      </c>
      <c r="I187" s="1">
        <v>690.0</v>
      </c>
      <c r="J187" s="1" t="s">
        <v>17</v>
      </c>
      <c r="K187" s="1">
        <v>0.0</v>
      </c>
    </row>
    <row r="188">
      <c r="A188" s="1" t="s">
        <v>220</v>
      </c>
      <c r="B188" s="1" t="s">
        <v>36</v>
      </c>
      <c r="C188" s="1" t="s">
        <v>157</v>
      </c>
      <c r="D188" s="3">
        <v>45898.0</v>
      </c>
      <c r="E188" s="3">
        <v>45898.0</v>
      </c>
      <c r="F188" s="1">
        <v>1.0</v>
      </c>
      <c r="G188" s="1">
        <v>76.36</v>
      </c>
      <c r="H188" s="1">
        <v>76.36</v>
      </c>
      <c r="I188" s="1">
        <v>319.0</v>
      </c>
      <c r="J188" s="1" t="s">
        <v>17</v>
      </c>
      <c r="K188" s="1">
        <v>0.0</v>
      </c>
    </row>
    <row r="189">
      <c r="A189" s="1" t="s">
        <v>221</v>
      </c>
      <c r="B189" s="1" t="s">
        <v>12</v>
      </c>
      <c r="C189" s="1" t="s">
        <v>157</v>
      </c>
      <c r="D189" s="3">
        <v>46006.0</v>
      </c>
      <c r="E189" s="3">
        <v>46006.0</v>
      </c>
      <c r="F189" s="1">
        <v>1.0</v>
      </c>
      <c r="G189" s="1">
        <v>43.65</v>
      </c>
      <c r="H189" s="1">
        <v>43.65</v>
      </c>
      <c r="I189" s="1">
        <v>211.0</v>
      </c>
      <c r="J189" s="1" t="s">
        <v>17</v>
      </c>
      <c r="K189" s="1">
        <v>0.0</v>
      </c>
    </row>
    <row r="190">
      <c r="A190" s="1" t="s">
        <v>222</v>
      </c>
      <c r="B190" s="1" t="s">
        <v>22</v>
      </c>
      <c r="C190" s="1" t="s">
        <v>157</v>
      </c>
      <c r="D190" s="3">
        <v>45585.0</v>
      </c>
      <c r="E190" s="3">
        <v>45585.0</v>
      </c>
      <c r="F190" s="1">
        <v>1.0</v>
      </c>
      <c r="G190" s="1">
        <v>125.22</v>
      </c>
      <c r="H190" s="1">
        <v>125.22</v>
      </c>
      <c r="I190" s="1">
        <v>632.0</v>
      </c>
      <c r="J190" s="1" t="s">
        <v>17</v>
      </c>
      <c r="K190" s="1">
        <v>0.0</v>
      </c>
    </row>
    <row r="191">
      <c r="A191" s="1" t="s">
        <v>223</v>
      </c>
      <c r="B191" s="1" t="s">
        <v>29</v>
      </c>
      <c r="C191" s="1" t="s">
        <v>157</v>
      </c>
      <c r="D191" s="3">
        <v>45498.0</v>
      </c>
      <c r="E191" s="3">
        <v>45498.0</v>
      </c>
      <c r="F191" s="1">
        <v>1.0</v>
      </c>
      <c r="G191" s="1">
        <v>69.68</v>
      </c>
      <c r="H191" s="1">
        <v>69.68</v>
      </c>
      <c r="I191" s="1">
        <v>719.0</v>
      </c>
      <c r="J191" s="1" t="s">
        <v>14</v>
      </c>
      <c r="K191" s="1">
        <v>0.0</v>
      </c>
    </row>
    <row r="192">
      <c r="A192" s="1" t="s">
        <v>224</v>
      </c>
      <c r="B192" s="1" t="s">
        <v>22</v>
      </c>
      <c r="C192" s="1" t="s">
        <v>157</v>
      </c>
      <c r="D192" s="3">
        <v>46143.0</v>
      </c>
      <c r="E192" s="3">
        <v>46143.0</v>
      </c>
      <c r="F192" s="1">
        <v>1.0</v>
      </c>
      <c r="G192" s="1">
        <v>81.33</v>
      </c>
      <c r="H192" s="1">
        <v>81.33</v>
      </c>
      <c r="I192" s="1">
        <v>74.0</v>
      </c>
      <c r="J192" s="1" t="s">
        <v>14</v>
      </c>
      <c r="K192" s="1">
        <v>0.0</v>
      </c>
    </row>
    <row r="193">
      <c r="A193" s="1" t="s">
        <v>225</v>
      </c>
      <c r="B193" s="1" t="s">
        <v>36</v>
      </c>
      <c r="C193" s="1" t="s">
        <v>157</v>
      </c>
      <c r="D193" s="3">
        <v>45904.0</v>
      </c>
      <c r="E193" s="3">
        <v>45904.0</v>
      </c>
      <c r="F193" s="1">
        <v>1.0</v>
      </c>
      <c r="G193" s="1">
        <v>53.71</v>
      </c>
      <c r="H193" s="1">
        <v>53.71</v>
      </c>
      <c r="I193" s="1">
        <v>313.0</v>
      </c>
      <c r="J193" s="1" t="s">
        <v>14</v>
      </c>
      <c r="K193" s="1">
        <v>0.0</v>
      </c>
    </row>
    <row r="194">
      <c r="A194" s="1" t="s">
        <v>226</v>
      </c>
      <c r="B194" s="1" t="s">
        <v>75</v>
      </c>
      <c r="C194" s="1" t="s">
        <v>157</v>
      </c>
      <c r="D194" s="3">
        <v>46142.0</v>
      </c>
      <c r="E194" s="3">
        <v>46217.0</v>
      </c>
      <c r="F194" s="1">
        <v>4.0</v>
      </c>
      <c r="G194" s="1">
        <v>533.32</v>
      </c>
      <c r="H194" s="1">
        <v>133.33</v>
      </c>
      <c r="I194" s="1">
        <v>0.0</v>
      </c>
      <c r="J194" s="1" t="s">
        <v>17</v>
      </c>
      <c r="K194" s="1">
        <v>0.0</v>
      </c>
    </row>
    <row r="195">
      <c r="A195" s="1" t="s">
        <v>227</v>
      </c>
      <c r="B195" s="1" t="s">
        <v>19</v>
      </c>
      <c r="C195" s="1" t="s">
        <v>157</v>
      </c>
      <c r="D195" s="3">
        <v>45981.0</v>
      </c>
      <c r="E195" s="3">
        <v>45981.0</v>
      </c>
      <c r="F195" s="1">
        <v>1.0</v>
      </c>
      <c r="G195" s="1">
        <v>72.31</v>
      </c>
      <c r="H195" s="1">
        <v>72.31</v>
      </c>
      <c r="I195" s="1">
        <v>236.0</v>
      </c>
      <c r="J195" s="1" t="s">
        <v>14</v>
      </c>
      <c r="K195" s="1">
        <v>0.0</v>
      </c>
    </row>
    <row r="196">
      <c r="A196" s="1" t="s">
        <v>228</v>
      </c>
      <c r="B196" s="1" t="s">
        <v>31</v>
      </c>
      <c r="C196" s="1" t="s">
        <v>157</v>
      </c>
      <c r="D196" s="3">
        <v>45816.0</v>
      </c>
      <c r="E196" s="3">
        <v>45816.0</v>
      </c>
      <c r="F196" s="1">
        <v>1.0</v>
      </c>
      <c r="G196" s="1">
        <v>83.6</v>
      </c>
      <c r="H196" s="1">
        <v>83.6</v>
      </c>
      <c r="I196" s="1">
        <v>401.0</v>
      </c>
      <c r="J196" s="1" t="s">
        <v>17</v>
      </c>
      <c r="K196" s="1">
        <v>0.0</v>
      </c>
    </row>
    <row r="197">
      <c r="A197" s="1" t="s">
        <v>229</v>
      </c>
      <c r="B197" s="1" t="s">
        <v>19</v>
      </c>
      <c r="C197" s="1" t="s">
        <v>157</v>
      </c>
      <c r="D197" s="3">
        <v>45867.0</v>
      </c>
      <c r="E197" s="3">
        <v>46050.0</v>
      </c>
      <c r="F197" s="1">
        <v>7.0</v>
      </c>
      <c r="G197" s="1">
        <v>581.28</v>
      </c>
      <c r="H197" s="1">
        <v>83.04</v>
      </c>
      <c r="I197" s="1">
        <v>167.0</v>
      </c>
      <c r="J197" s="1" t="s">
        <v>14</v>
      </c>
      <c r="K197" s="1">
        <v>0.0</v>
      </c>
    </row>
    <row r="198">
      <c r="A198" s="1" t="s">
        <v>230</v>
      </c>
      <c r="B198" s="1" t="s">
        <v>12</v>
      </c>
      <c r="C198" s="1" t="s">
        <v>157</v>
      </c>
      <c r="D198" s="3">
        <v>46131.0</v>
      </c>
      <c r="E198" s="3">
        <v>46131.0</v>
      </c>
      <c r="F198" s="1">
        <v>1.0</v>
      </c>
      <c r="G198" s="1">
        <v>66.64</v>
      </c>
      <c r="H198" s="1">
        <v>66.64</v>
      </c>
      <c r="I198" s="1">
        <v>86.0</v>
      </c>
      <c r="J198" s="1" t="s">
        <v>17</v>
      </c>
      <c r="K198" s="1">
        <v>0.0</v>
      </c>
    </row>
    <row r="199">
      <c r="A199" s="1" t="s">
        <v>231</v>
      </c>
      <c r="B199" s="1" t="s">
        <v>27</v>
      </c>
      <c r="C199" s="1" t="s">
        <v>157</v>
      </c>
      <c r="D199" s="3">
        <v>45951.0</v>
      </c>
      <c r="E199" s="3">
        <v>46109.0</v>
      </c>
      <c r="F199" s="1">
        <v>6.0</v>
      </c>
      <c r="G199" s="1">
        <v>361.02</v>
      </c>
      <c r="H199" s="1">
        <v>60.17</v>
      </c>
      <c r="I199" s="1">
        <v>108.0</v>
      </c>
      <c r="J199" s="1" t="s">
        <v>17</v>
      </c>
      <c r="K199" s="1">
        <v>0.0</v>
      </c>
    </row>
    <row r="200">
      <c r="A200" s="1" t="s">
        <v>232</v>
      </c>
      <c r="B200" s="1" t="s">
        <v>29</v>
      </c>
      <c r="C200" s="1" t="s">
        <v>157</v>
      </c>
      <c r="D200" s="3">
        <v>45526.0</v>
      </c>
      <c r="E200" s="3">
        <v>45526.0</v>
      </c>
      <c r="F200" s="1">
        <v>1.0</v>
      </c>
      <c r="G200" s="1">
        <v>67.83</v>
      </c>
      <c r="H200" s="1">
        <v>67.83</v>
      </c>
      <c r="I200" s="1">
        <v>691.0</v>
      </c>
      <c r="J200" s="1" t="s">
        <v>17</v>
      </c>
      <c r="K200" s="1">
        <v>0.0</v>
      </c>
    </row>
    <row r="201">
      <c r="A201" s="1" t="s">
        <v>233</v>
      </c>
      <c r="B201" s="1" t="s">
        <v>75</v>
      </c>
      <c r="C201" s="1" t="s">
        <v>157</v>
      </c>
      <c r="D201" s="3">
        <v>45538.0</v>
      </c>
      <c r="E201" s="3">
        <v>45538.0</v>
      </c>
      <c r="F201" s="1">
        <v>1.0</v>
      </c>
      <c r="G201" s="1">
        <v>59.0</v>
      </c>
      <c r="H201" s="1">
        <v>59.0</v>
      </c>
      <c r="I201" s="1">
        <v>679.0</v>
      </c>
      <c r="J201" s="1" t="s">
        <v>17</v>
      </c>
      <c r="K201" s="1">
        <v>0.0</v>
      </c>
    </row>
    <row r="202">
      <c r="A202" s="1" t="s">
        <v>234</v>
      </c>
      <c r="B202" s="1" t="s">
        <v>22</v>
      </c>
      <c r="C202" s="1" t="s">
        <v>157</v>
      </c>
      <c r="D202" s="3">
        <v>45949.0</v>
      </c>
      <c r="E202" s="3">
        <v>45949.0</v>
      </c>
      <c r="F202" s="1">
        <v>1.0</v>
      </c>
      <c r="G202" s="1">
        <v>86.43</v>
      </c>
      <c r="H202" s="1">
        <v>86.43</v>
      </c>
      <c r="I202" s="1">
        <v>268.0</v>
      </c>
      <c r="J202" s="1" t="s">
        <v>14</v>
      </c>
      <c r="K202" s="1">
        <v>0.0</v>
      </c>
    </row>
    <row r="203">
      <c r="A203" s="1" t="s">
        <v>235</v>
      </c>
      <c r="B203" s="1" t="s">
        <v>96</v>
      </c>
      <c r="C203" s="1" t="s">
        <v>157</v>
      </c>
      <c r="D203" s="3">
        <v>45806.0</v>
      </c>
      <c r="E203" s="3">
        <v>45806.0</v>
      </c>
      <c r="F203" s="1">
        <v>1.0</v>
      </c>
      <c r="G203" s="1">
        <v>83.29</v>
      </c>
      <c r="H203" s="1">
        <v>83.29</v>
      </c>
      <c r="I203" s="1">
        <v>411.0</v>
      </c>
      <c r="J203" s="1" t="s">
        <v>14</v>
      </c>
      <c r="K203" s="1">
        <v>0.0</v>
      </c>
    </row>
    <row r="204">
      <c r="A204" s="1" t="s">
        <v>236</v>
      </c>
      <c r="B204" s="1" t="s">
        <v>34</v>
      </c>
      <c r="C204" s="1" t="s">
        <v>157</v>
      </c>
      <c r="D204" s="3">
        <v>45961.0</v>
      </c>
      <c r="E204" s="3">
        <v>46217.0</v>
      </c>
      <c r="F204" s="1">
        <v>4.0</v>
      </c>
      <c r="G204" s="1">
        <v>496.32</v>
      </c>
      <c r="H204" s="1">
        <v>124.08</v>
      </c>
      <c r="I204" s="1">
        <v>0.0</v>
      </c>
      <c r="J204" s="1" t="s">
        <v>17</v>
      </c>
      <c r="K204" s="1">
        <v>0.0</v>
      </c>
    </row>
    <row r="205">
      <c r="A205" s="1" t="s">
        <v>237</v>
      </c>
      <c r="B205" s="1" t="s">
        <v>27</v>
      </c>
      <c r="C205" s="1" t="s">
        <v>157</v>
      </c>
      <c r="D205" s="3">
        <v>45550.0</v>
      </c>
      <c r="E205" s="3">
        <v>45550.0</v>
      </c>
      <c r="F205" s="1">
        <v>1.0</v>
      </c>
      <c r="G205" s="1">
        <v>73.3</v>
      </c>
      <c r="H205" s="1">
        <v>73.3</v>
      </c>
      <c r="I205" s="1">
        <v>667.0</v>
      </c>
      <c r="J205" s="1" t="s">
        <v>14</v>
      </c>
      <c r="K205" s="1">
        <v>0.0</v>
      </c>
    </row>
    <row r="206">
      <c r="A206" s="1" t="s">
        <v>238</v>
      </c>
      <c r="B206" s="1" t="s">
        <v>75</v>
      </c>
      <c r="C206" s="1" t="s">
        <v>157</v>
      </c>
      <c r="D206" s="3">
        <v>45786.0</v>
      </c>
      <c r="E206" s="3">
        <v>45786.0</v>
      </c>
      <c r="F206" s="1">
        <v>1.0</v>
      </c>
      <c r="G206" s="1">
        <v>80.11</v>
      </c>
      <c r="H206" s="1">
        <v>80.11</v>
      </c>
      <c r="I206" s="1">
        <v>431.0</v>
      </c>
      <c r="J206" s="1" t="s">
        <v>17</v>
      </c>
      <c r="K206" s="1">
        <v>0.0</v>
      </c>
    </row>
    <row r="207">
      <c r="A207" s="1" t="s">
        <v>239</v>
      </c>
      <c r="B207" s="1" t="s">
        <v>22</v>
      </c>
      <c r="C207" s="1" t="s">
        <v>157</v>
      </c>
      <c r="D207" s="3">
        <v>45829.0</v>
      </c>
      <c r="E207" s="3">
        <v>45829.0</v>
      </c>
      <c r="F207" s="1">
        <v>1.0</v>
      </c>
      <c r="G207" s="1">
        <v>78.16</v>
      </c>
      <c r="H207" s="1">
        <v>78.16</v>
      </c>
      <c r="I207" s="1">
        <v>388.0</v>
      </c>
      <c r="J207" s="1" t="s">
        <v>17</v>
      </c>
      <c r="K207" s="1">
        <v>0.0</v>
      </c>
    </row>
    <row r="208">
      <c r="A208" s="1" t="s">
        <v>241</v>
      </c>
      <c r="B208" s="1" t="s">
        <v>29</v>
      </c>
      <c r="C208" s="1" t="s">
        <v>157</v>
      </c>
      <c r="D208" s="3">
        <v>45983.0</v>
      </c>
      <c r="E208" s="3">
        <v>45983.0</v>
      </c>
      <c r="F208" s="1">
        <v>1.0</v>
      </c>
      <c r="G208" s="1">
        <v>82.84</v>
      </c>
      <c r="H208" s="1">
        <v>82.84</v>
      </c>
      <c r="I208" s="1">
        <v>234.0</v>
      </c>
      <c r="J208" s="1" t="s">
        <v>17</v>
      </c>
      <c r="K208" s="1">
        <v>0.0</v>
      </c>
    </row>
    <row r="209">
      <c r="A209" s="1" t="s">
        <v>243</v>
      </c>
      <c r="B209" s="1" t="s">
        <v>34</v>
      </c>
      <c r="C209" s="1" t="s">
        <v>242</v>
      </c>
      <c r="D209" s="3">
        <v>45695.0</v>
      </c>
      <c r="E209" s="3">
        <v>45695.0</v>
      </c>
      <c r="F209" s="1">
        <v>1.0</v>
      </c>
      <c r="G209" s="1">
        <v>121.39</v>
      </c>
      <c r="H209" s="1">
        <v>121.39</v>
      </c>
      <c r="I209" s="1">
        <v>522.0</v>
      </c>
      <c r="J209" s="1" t="s">
        <v>17</v>
      </c>
      <c r="K209" s="1">
        <v>2.0</v>
      </c>
    </row>
    <row r="210">
      <c r="A210" s="1" t="s">
        <v>244</v>
      </c>
      <c r="B210" s="1" t="s">
        <v>19</v>
      </c>
      <c r="C210" s="1" t="s">
        <v>242</v>
      </c>
      <c r="D210" s="3">
        <v>45704.0</v>
      </c>
      <c r="E210" s="3">
        <v>45999.0</v>
      </c>
      <c r="F210" s="1">
        <v>4.0</v>
      </c>
      <c r="G210" s="1">
        <v>516.48</v>
      </c>
      <c r="H210" s="1">
        <v>129.12</v>
      </c>
      <c r="I210" s="1">
        <v>218.0</v>
      </c>
      <c r="J210" s="1" t="s">
        <v>17</v>
      </c>
      <c r="K210" s="1">
        <v>2.0</v>
      </c>
    </row>
    <row r="211">
      <c r="A211" s="1" t="s">
        <v>245</v>
      </c>
      <c r="B211" s="1" t="s">
        <v>12</v>
      </c>
      <c r="C211" s="1" t="s">
        <v>242</v>
      </c>
      <c r="D211" s="3">
        <v>46159.0</v>
      </c>
      <c r="E211" s="3">
        <v>46159.0</v>
      </c>
      <c r="F211" s="1">
        <v>1.0</v>
      </c>
      <c r="G211" s="1">
        <v>152.49</v>
      </c>
      <c r="H211" s="1">
        <v>152.49</v>
      </c>
      <c r="I211" s="1">
        <v>58.0</v>
      </c>
      <c r="J211" s="1" t="s">
        <v>17</v>
      </c>
      <c r="K211" s="1">
        <v>2.0</v>
      </c>
    </row>
    <row r="212">
      <c r="A212" s="1" t="s">
        <v>246</v>
      </c>
      <c r="B212" s="1" t="s">
        <v>36</v>
      </c>
      <c r="C212" s="1" t="s">
        <v>242</v>
      </c>
      <c r="D212" s="3">
        <v>46075.0</v>
      </c>
      <c r="E212" s="3">
        <v>46217.0</v>
      </c>
      <c r="F212" s="1">
        <v>6.0</v>
      </c>
      <c r="G212" s="1">
        <v>387.24</v>
      </c>
      <c r="H212" s="1">
        <v>64.54</v>
      </c>
      <c r="I212" s="1">
        <v>0.0</v>
      </c>
      <c r="J212" s="1" t="s">
        <v>17</v>
      </c>
      <c r="K212" s="1">
        <v>2.0</v>
      </c>
    </row>
    <row r="213">
      <c r="A213" s="1" t="s">
        <v>248</v>
      </c>
      <c r="B213" s="1" t="s">
        <v>31</v>
      </c>
      <c r="C213" s="1" t="s">
        <v>242</v>
      </c>
      <c r="D213" s="3">
        <v>46164.0</v>
      </c>
      <c r="E213" s="3">
        <v>46217.0</v>
      </c>
      <c r="F213" s="1">
        <v>7.0</v>
      </c>
      <c r="G213" s="1">
        <v>616.28</v>
      </c>
      <c r="H213" s="1">
        <v>88.04</v>
      </c>
      <c r="I213" s="1">
        <v>0.0</v>
      </c>
      <c r="J213" s="1" t="s">
        <v>17</v>
      </c>
      <c r="K213" s="1">
        <v>2.0</v>
      </c>
    </row>
    <row r="214">
      <c r="A214" s="1" t="s">
        <v>249</v>
      </c>
      <c r="B214" s="1" t="s">
        <v>22</v>
      </c>
      <c r="C214" s="1" t="s">
        <v>242</v>
      </c>
      <c r="D214" s="3">
        <v>45695.0</v>
      </c>
      <c r="E214" s="3">
        <v>45695.0</v>
      </c>
      <c r="F214" s="1">
        <v>1.0</v>
      </c>
      <c r="G214" s="1">
        <v>94.65</v>
      </c>
      <c r="H214" s="1">
        <v>94.65</v>
      </c>
      <c r="I214" s="1">
        <v>522.0</v>
      </c>
      <c r="J214" s="1" t="s">
        <v>17</v>
      </c>
      <c r="K214" s="1">
        <v>2.0</v>
      </c>
    </row>
    <row r="215">
      <c r="A215" s="1" t="s">
        <v>250</v>
      </c>
      <c r="B215" s="1" t="s">
        <v>22</v>
      </c>
      <c r="C215" s="1" t="s">
        <v>242</v>
      </c>
      <c r="D215" s="3">
        <v>46103.0</v>
      </c>
      <c r="E215" s="3">
        <v>46103.0</v>
      </c>
      <c r="F215" s="1">
        <v>1.0</v>
      </c>
      <c r="G215" s="1">
        <v>133.12</v>
      </c>
      <c r="H215" s="1">
        <v>133.12</v>
      </c>
      <c r="I215" s="1">
        <v>114.0</v>
      </c>
      <c r="J215" s="1" t="s">
        <v>14</v>
      </c>
      <c r="K215" s="1">
        <v>2.0</v>
      </c>
    </row>
    <row r="216">
      <c r="A216" s="1" t="s">
        <v>251</v>
      </c>
      <c r="B216" s="1" t="s">
        <v>27</v>
      </c>
      <c r="C216" s="1" t="s">
        <v>242</v>
      </c>
      <c r="D216" s="3">
        <v>45994.0</v>
      </c>
      <c r="E216" s="3">
        <v>46217.0</v>
      </c>
      <c r="F216" s="1">
        <v>7.0</v>
      </c>
      <c r="G216" s="1">
        <v>571.83</v>
      </c>
      <c r="H216" s="1">
        <v>81.69</v>
      </c>
      <c r="I216" s="1">
        <v>0.0</v>
      </c>
      <c r="J216" s="1" t="s">
        <v>17</v>
      </c>
      <c r="K216" s="1">
        <v>1.0</v>
      </c>
    </row>
    <row r="217">
      <c r="A217" s="1" t="s">
        <v>252</v>
      </c>
      <c r="B217" s="1" t="s">
        <v>19</v>
      </c>
      <c r="C217" s="1" t="s">
        <v>242</v>
      </c>
      <c r="D217" s="3">
        <v>45891.0</v>
      </c>
      <c r="E217" s="3">
        <v>45891.0</v>
      </c>
      <c r="F217" s="1">
        <v>1.0</v>
      </c>
      <c r="G217" s="1">
        <v>161.63</v>
      </c>
      <c r="H217" s="1">
        <v>161.63</v>
      </c>
      <c r="I217" s="1">
        <v>326.0</v>
      </c>
      <c r="J217" s="1" t="s">
        <v>17</v>
      </c>
      <c r="K217" s="1">
        <v>1.0</v>
      </c>
    </row>
    <row r="218">
      <c r="A218" s="1" t="s">
        <v>253</v>
      </c>
      <c r="B218" s="1" t="s">
        <v>29</v>
      </c>
      <c r="C218" s="1" t="s">
        <v>242</v>
      </c>
      <c r="D218" s="3">
        <v>45481.0</v>
      </c>
      <c r="E218" s="3">
        <v>45616.0</v>
      </c>
      <c r="F218" s="1">
        <v>8.0</v>
      </c>
      <c r="G218" s="1">
        <v>1089.28</v>
      </c>
      <c r="H218" s="1">
        <v>136.16</v>
      </c>
      <c r="I218" s="1">
        <v>601.0</v>
      </c>
      <c r="J218" s="1" t="s">
        <v>14</v>
      </c>
      <c r="K218" s="1">
        <v>1.0</v>
      </c>
    </row>
    <row r="219">
      <c r="A219" s="1" t="s">
        <v>254</v>
      </c>
      <c r="B219" s="1" t="s">
        <v>36</v>
      </c>
      <c r="C219" s="1" t="s">
        <v>242</v>
      </c>
      <c r="D219" s="3">
        <v>46047.0</v>
      </c>
      <c r="E219" s="3">
        <v>46047.0</v>
      </c>
      <c r="F219" s="1">
        <v>1.0</v>
      </c>
      <c r="G219" s="1">
        <v>76.41</v>
      </c>
      <c r="H219" s="1">
        <v>76.41</v>
      </c>
      <c r="I219" s="1">
        <v>170.0</v>
      </c>
      <c r="J219" s="1" t="s">
        <v>14</v>
      </c>
      <c r="K219" s="1">
        <v>1.0</v>
      </c>
    </row>
    <row r="220">
      <c r="A220" s="1" t="s">
        <v>255</v>
      </c>
      <c r="B220" s="1" t="s">
        <v>31</v>
      </c>
      <c r="C220" s="1" t="s">
        <v>242</v>
      </c>
      <c r="D220" s="3">
        <v>45946.0</v>
      </c>
      <c r="E220" s="3">
        <v>45946.0</v>
      </c>
      <c r="F220" s="1">
        <v>1.0</v>
      </c>
      <c r="G220" s="1">
        <v>109.3</v>
      </c>
      <c r="H220" s="1">
        <v>109.3</v>
      </c>
      <c r="I220" s="1">
        <v>271.0</v>
      </c>
      <c r="J220" s="1" t="s">
        <v>17</v>
      </c>
      <c r="K220" s="1">
        <v>1.0</v>
      </c>
    </row>
    <row r="221">
      <c r="A221" s="1" t="s">
        <v>256</v>
      </c>
      <c r="B221" s="1" t="s">
        <v>29</v>
      </c>
      <c r="C221" s="1" t="s">
        <v>242</v>
      </c>
      <c r="D221" s="3">
        <v>45991.0</v>
      </c>
      <c r="E221" s="3">
        <v>46217.0</v>
      </c>
      <c r="F221" s="1">
        <v>7.0</v>
      </c>
      <c r="G221" s="1">
        <v>372.61</v>
      </c>
      <c r="H221" s="1">
        <v>53.23</v>
      </c>
      <c r="I221" s="1">
        <v>0.0</v>
      </c>
      <c r="J221" s="1" t="s">
        <v>17</v>
      </c>
      <c r="K221" s="1">
        <v>1.0</v>
      </c>
    </row>
    <row r="222">
      <c r="A222" s="1" t="s">
        <v>257</v>
      </c>
      <c r="B222" s="1" t="s">
        <v>24</v>
      </c>
      <c r="C222" s="1" t="s">
        <v>242</v>
      </c>
      <c r="D222" s="3">
        <v>46089.0</v>
      </c>
      <c r="E222" s="3">
        <v>46217.0</v>
      </c>
      <c r="F222" s="1">
        <v>6.0</v>
      </c>
      <c r="G222" s="1">
        <v>588.78</v>
      </c>
      <c r="H222" s="1">
        <v>98.13</v>
      </c>
      <c r="I222" s="1">
        <v>0.0</v>
      </c>
      <c r="J222" s="1" t="s">
        <v>17</v>
      </c>
      <c r="K222" s="1">
        <v>1.0</v>
      </c>
    </row>
    <row r="223">
      <c r="A223" s="1" t="s">
        <v>258</v>
      </c>
      <c r="B223" s="1" t="s">
        <v>34</v>
      </c>
      <c r="C223" s="1" t="s">
        <v>242</v>
      </c>
      <c r="D223" s="3">
        <v>45951.0</v>
      </c>
      <c r="E223" s="3">
        <v>46217.0</v>
      </c>
      <c r="F223" s="1">
        <v>3.0</v>
      </c>
      <c r="G223" s="1">
        <v>226.26</v>
      </c>
      <c r="H223" s="1">
        <v>75.42</v>
      </c>
      <c r="I223" s="1">
        <v>0.0</v>
      </c>
      <c r="J223" s="1" t="s">
        <v>17</v>
      </c>
      <c r="K223" s="1">
        <v>1.0</v>
      </c>
    </row>
    <row r="224">
      <c r="A224" s="1" t="s">
        <v>259</v>
      </c>
      <c r="B224" s="1" t="s">
        <v>34</v>
      </c>
      <c r="C224" s="1" t="s">
        <v>242</v>
      </c>
      <c r="D224" s="3">
        <v>45623.0</v>
      </c>
      <c r="E224" s="3">
        <v>45623.0</v>
      </c>
      <c r="F224" s="1">
        <v>1.0</v>
      </c>
      <c r="G224" s="1">
        <v>98.38</v>
      </c>
      <c r="H224" s="1">
        <v>98.38</v>
      </c>
      <c r="I224" s="1">
        <v>594.0</v>
      </c>
      <c r="J224" s="1" t="s">
        <v>17</v>
      </c>
      <c r="K224" s="1">
        <v>1.0</v>
      </c>
    </row>
    <row r="225">
      <c r="A225" s="1" t="s">
        <v>260</v>
      </c>
      <c r="B225" s="1" t="s">
        <v>31</v>
      </c>
      <c r="C225" s="1" t="s">
        <v>242</v>
      </c>
      <c r="D225" s="3">
        <v>45578.0</v>
      </c>
      <c r="E225" s="3">
        <v>45578.0</v>
      </c>
      <c r="F225" s="1">
        <v>1.0</v>
      </c>
      <c r="G225" s="1">
        <v>86.41</v>
      </c>
      <c r="H225" s="1">
        <v>86.41</v>
      </c>
      <c r="I225" s="1">
        <v>639.0</v>
      </c>
      <c r="J225" s="1" t="s">
        <v>17</v>
      </c>
      <c r="K225" s="1">
        <v>0.0</v>
      </c>
    </row>
    <row r="226">
      <c r="A226" s="1" t="s">
        <v>261</v>
      </c>
      <c r="B226" s="1" t="s">
        <v>29</v>
      </c>
      <c r="C226" s="1" t="s">
        <v>242</v>
      </c>
      <c r="D226" s="3">
        <v>46038.0</v>
      </c>
      <c r="E226" s="3">
        <v>46038.0</v>
      </c>
      <c r="F226" s="1">
        <v>1.0</v>
      </c>
      <c r="G226" s="1">
        <v>76.25</v>
      </c>
      <c r="H226" s="1">
        <v>76.25</v>
      </c>
      <c r="I226" s="1">
        <v>179.0</v>
      </c>
      <c r="J226" s="1" t="s">
        <v>14</v>
      </c>
      <c r="K226" s="1">
        <v>0.0</v>
      </c>
    </row>
    <row r="227">
      <c r="A227" s="1" t="s">
        <v>262</v>
      </c>
      <c r="B227" s="1" t="s">
        <v>34</v>
      </c>
      <c r="C227" s="1" t="s">
        <v>242</v>
      </c>
      <c r="D227" s="3">
        <v>45540.0</v>
      </c>
      <c r="E227" s="3">
        <v>45540.0</v>
      </c>
      <c r="F227" s="1">
        <v>1.0</v>
      </c>
      <c r="G227" s="1">
        <v>80.28</v>
      </c>
      <c r="H227" s="1">
        <v>80.28</v>
      </c>
      <c r="I227" s="1">
        <v>677.0</v>
      </c>
      <c r="J227" s="1" t="s">
        <v>17</v>
      </c>
      <c r="K227" s="1">
        <v>0.0</v>
      </c>
    </row>
    <row r="228">
      <c r="A228" s="1" t="s">
        <v>263</v>
      </c>
      <c r="B228" s="1" t="s">
        <v>19</v>
      </c>
      <c r="C228" s="1" t="s">
        <v>242</v>
      </c>
      <c r="D228" s="3">
        <v>45525.0</v>
      </c>
      <c r="E228" s="3">
        <v>45629.0</v>
      </c>
      <c r="F228" s="1">
        <v>5.0</v>
      </c>
      <c r="G228" s="1">
        <v>464.05</v>
      </c>
      <c r="H228" s="1">
        <v>92.81</v>
      </c>
      <c r="I228" s="1">
        <v>588.0</v>
      </c>
      <c r="J228" s="1" t="s">
        <v>17</v>
      </c>
      <c r="K228" s="1">
        <v>0.0</v>
      </c>
    </row>
    <row r="229">
      <c r="A229" s="1" t="s">
        <v>264</v>
      </c>
      <c r="B229" s="1" t="s">
        <v>36</v>
      </c>
      <c r="C229" s="1" t="s">
        <v>242</v>
      </c>
      <c r="D229" s="3">
        <v>45543.0</v>
      </c>
      <c r="E229" s="3">
        <v>45543.0</v>
      </c>
      <c r="F229" s="1">
        <v>1.0</v>
      </c>
      <c r="G229" s="1">
        <v>95.78</v>
      </c>
      <c r="H229" s="1">
        <v>95.78</v>
      </c>
      <c r="I229" s="1">
        <v>674.0</v>
      </c>
      <c r="J229" s="1" t="s">
        <v>17</v>
      </c>
      <c r="K229" s="1">
        <v>0.0</v>
      </c>
    </row>
    <row r="230">
      <c r="A230" s="1" t="s">
        <v>265</v>
      </c>
      <c r="B230" s="1" t="s">
        <v>19</v>
      </c>
      <c r="C230" s="1" t="s">
        <v>242</v>
      </c>
      <c r="D230" s="3">
        <v>46084.0</v>
      </c>
      <c r="E230" s="3">
        <v>46217.0</v>
      </c>
      <c r="F230" s="1">
        <v>3.0</v>
      </c>
      <c r="G230" s="1">
        <v>260.04</v>
      </c>
      <c r="H230" s="1">
        <v>86.68</v>
      </c>
      <c r="I230" s="1">
        <v>0.0</v>
      </c>
      <c r="J230" s="1" t="s">
        <v>14</v>
      </c>
      <c r="K230" s="1">
        <v>0.0</v>
      </c>
    </row>
    <row r="231">
      <c r="A231" s="1" t="s">
        <v>266</v>
      </c>
      <c r="B231" s="1" t="s">
        <v>12</v>
      </c>
      <c r="C231" s="1" t="s">
        <v>242</v>
      </c>
      <c r="D231" s="3">
        <v>45923.0</v>
      </c>
      <c r="E231" s="3">
        <v>46217.0</v>
      </c>
      <c r="F231" s="1">
        <v>3.0</v>
      </c>
      <c r="G231" s="1">
        <v>279.63</v>
      </c>
      <c r="H231" s="1">
        <v>93.21</v>
      </c>
      <c r="I231" s="1">
        <v>0.0</v>
      </c>
      <c r="J231" s="1" t="s">
        <v>17</v>
      </c>
      <c r="K231" s="1">
        <v>0.0</v>
      </c>
    </row>
    <row r="232">
      <c r="A232" s="1" t="s">
        <v>267</v>
      </c>
      <c r="B232" s="1" t="s">
        <v>16</v>
      </c>
      <c r="C232" s="1" t="s">
        <v>242</v>
      </c>
      <c r="D232" s="3">
        <v>45510.0</v>
      </c>
      <c r="E232" s="3">
        <v>45778.0</v>
      </c>
      <c r="F232" s="1">
        <v>7.0</v>
      </c>
      <c r="G232" s="1">
        <v>1156.12</v>
      </c>
      <c r="H232" s="1">
        <v>165.16</v>
      </c>
      <c r="I232" s="1">
        <v>439.0</v>
      </c>
      <c r="J232" s="1" t="s">
        <v>17</v>
      </c>
      <c r="K232" s="1">
        <v>0.0</v>
      </c>
    </row>
    <row r="233">
      <c r="A233" s="1" t="s">
        <v>268</v>
      </c>
      <c r="B233" s="1" t="s">
        <v>22</v>
      </c>
      <c r="C233" s="1" t="s">
        <v>242</v>
      </c>
      <c r="D233" s="3">
        <v>45847.0</v>
      </c>
      <c r="E233" s="3">
        <v>46217.0</v>
      </c>
      <c r="F233" s="1">
        <v>7.0</v>
      </c>
      <c r="G233" s="1">
        <v>616.07</v>
      </c>
      <c r="H233" s="1">
        <v>88.01</v>
      </c>
      <c r="I233" s="1">
        <v>0.0</v>
      </c>
      <c r="J233" s="1" t="s">
        <v>17</v>
      </c>
      <c r="K233" s="1">
        <v>0.0</v>
      </c>
    </row>
    <row r="234">
      <c r="A234" s="1" t="s">
        <v>269</v>
      </c>
      <c r="B234" s="1" t="s">
        <v>19</v>
      </c>
      <c r="C234" s="1" t="s">
        <v>242</v>
      </c>
      <c r="D234" s="3">
        <v>46130.0</v>
      </c>
      <c r="E234" s="3">
        <v>46130.0</v>
      </c>
      <c r="F234" s="1">
        <v>1.0</v>
      </c>
      <c r="G234" s="1">
        <v>80.89</v>
      </c>
      <c r="H234" s="1">
        <v>80.89</v>
      </c>
      <c r="I234" s="1">
        <v>87.0</v>
      </c>
      <c r="J234" s="1" t="s">
        <v>14</v>
      </c>
      <c r="K234" s="1">
        <v>0.0</v>
      </c>
    </row>
    <row r="235">
      <c r="A235" s="1" t="s">
        <v>270</v>
      </c>
      <c r="B235" s="1" t="s">
        <v>24</v>
      </c>
      <c r="C235" s="1" t="s">
        <v>242</v>
      </c>
      <c r="D235" s="3">
        <v>45817.0</v>
      </c>
      <c r="E235" s="3">
        <v>45945.0</v>
      </c>
      <c r="F235" s="1">
        <v>3.0</v>
      </c>
      <c r="G235" s="1">
        <v>244.32</v>
      </c>
      <c r="H235" s="1">
        <v>81.44</v>
      </c>
      <c r="I235" s="1">
        <v>272.0</v>
      </c>
      <c r="J235" s="1" t="s">
        <v>17</v>
      </c>
      <c r="K235" s="1">
        <v>0.0</v>
      </c>
    </row>
    <row r="236">
      <c r="A236" s="1" t="s">
        <v>271</v>
      </c>
      <c r="B236" s="1" t="s">
        <v>36</v>
      </c>
      <c r="C236" s="1" t="s">
        <v>242</v>
      </c>
      <c r="D236" s="3">
        <v>45624.0</v>
      </c>
      <c r="E236" s="3">
        <v>45624.0</v>
      </c>
      <c r="F236" s="1">
        <v>1.0</v>
      </c>
      <c r="G236" s="1">
        <v>101.47</v>
      </c>
      <c r="H236" s="1">
        <v>101.47</v>
      </c>
      <c r="I236" s="1">
        <v>593.0</v>
      </c>
      <c r="J236" s="1" t="s">
        <v>17</v>
      </c>
      <c r="K236" s="1">
        <v>0.0</v>
      </c>
    </row>
    <row r="237">
      <c r="A237" s="1" t="s">
        <v>272</v>
      </c>
      <c r="B237" s="1" t="s">
        <v>96</v>
      </c>
      <c r="C237" s="1" t="s">
        <v>242</v>
      </c>
      <c r="D237" s="3">
        <v>46004.0</v>
      </c>
      <c r="E237" s="3">
        <v>46004.0</v>
      </c>
      <c r="F237" s="1">
        <v>1.0</v>
      </c>
      <c r="G237" s="1">
        <v>123.35</v>
      </c>
      <c r="H237" s="1">
        <v>123.35</v>
      </c>
      <c r="I237" s="1">
        <v>213.0</v>
      </c>
      <c r="J237" s="1" t="s">
        <v>14</v>
      </c>
      <c r="K237" s="1">
        <v>0.0</v>
      </c>
    </row>
    <row r="238">
      <c r="A238" s="1" t="s">
        <v>273</v>
      </c>
      <c r="B238" s="1" t="s">
        <v>19</v>
      </c>
      <c r="C238" s="1" t="s">
        <v>242</v>
      </c>
      <c r="D238" s="3">
        <v>45776.0</v>
      </c>
      <c r="E238" s="3">
        <v>45776.0</v>
      </c>
      <c r="F238" s="1">
        <v>1.0</v>
      </c>
      <c r="G238" s="1">
        <v>40.2</v>
      </c>
      <c r="H238" s="1">
        <v>40.2</v>
      </c>
      <c r="I238" s="1">
        <v>441.0</v>
      </c>
      <c r="J238" s="1" t="s">
        <v>17</v>
      </c>
      <c r="K238" s="1">
        <v>0.0</v>
      </c>
    </row>
    <row r="239">
      <c r="A239" s="1" t="s">
        <v>274</v>
      </c>
      <c r="B239" s="1" t="s">
        <v>22</v>
      </c>
      <c r="C239" s="1" t="s">
        <v>242</v>
      </c>
      <c r="D239" s="3">
        <v>45734.0</v>
      </c>
      <c r="E239" s="3">
        <v>45734.0</v>
      </c>
      <c r="F239" s="1">
        <v>1.0</v>
      </c>
      <c r="G239" s="1">
        <v>80.07</v>
      </c>
      <c r="H239" s="1">
        <v>80.07</v>
      </c>
      <c r="I239" s="1">
        <v>483.0</v>
      </c>
      <c r="J239" s="1" t="s">
        <v>14</v>
      </c>
      <c r="K239" s="1">
        <v>0.0</v>
      </c>
    </row>
    <row r="240">
      <c r="A240" s="1" t="s">
        <v>275</v>
      </c>
      <c r="B240" s="1" t="s">
        <v>29</v>
      </c>
      <c r="C240" s="1" t="s">
        <v>242</v>
      </c>
      <c r="D240" s="3">
        <v>46145.0</v>
      </c>
      <c r="E240" s="3">
        <v>46217.0</v>
      </c>
      <c r="F240" s="1">
        <v>6.0</v>
      </c>
      <c r="G240" s="1">
        <v>707.4</v>
      </c>
      <c r="H240" s="1">
        <v>117.9</v>
      </c>
      <c r="I240" s="1">
        <v>0.0</v>
      </c>
      <c r="J240" s="1" t="s">
        <v>17</v>
      </c>
      <c r="K240" s="1">
        <v>0.0</v>
      </c>
    </row>
    <row r="241">
      <c r="A241" s="1" t="s">
        <v>276</v>
      </c>
      <c r="B241" s="1" t="s">
        <v>24</v>
      </c>
      <c r="C241" s="1" t="s">
        <v>242</v>
      </c>
      <c r="D241" s="3">
        <v>46027.0</v>
      </c>
      <c r="E241" s="3">
        <v>46027.0</v>
      </c>
      <c r="F241" s="1">
        <v>1.0</v>
      </c>
      <c r="G241" s="1">
        <v>92.63</v>
      </c>
      <c r="H241" s="1">
        <v>92.63</v>
      </c>
      <c r="I241" s="1">
        <v>190.0</v>
      </c>
      <c r="J241" s="1" t="s">
        <v>17</v>
      </c>
      <c r="K241" s="1">
        <v>0.0</v>
      </c>
    </row>
    <row r="242">
      <c r="A242" s="1" t="s">
        <v>277</v>
      </c>
      <c r="B242" s="1" t="s">
        <v>16</v>
      </c>
      <c r="C242" s="1" t="s">
        <v>242</v>
      </c>
      <c r="D242" s="3">
        <v>46073.0</v>
      </c>
      <c r="E242" s="3">
        <v>46122.0</v>
      </c>
      <c r="F242" s="1">
        <v>7.0</v>
      </c>
      <c r="G242" s="1">
        <v>1047.48</v>
      </c>
      <c r="H242" s="1">
        <v>149.64</v>
      </c>
      <c r="I242" s="1">
        <v>95.0</v>
      </c>
      <c r="J242" s="1" t="s">
        <v>17</v>
      </c>
      <c r="K242" s="1">
        <v>0.0</v>
      </c>
    </row>
    <row r="243">
      <c r="A243" s="1" t="s">
        <v>278</v>
      </c>
      <c r="B243" s="1" t="s">
        <v>96</v>
      </c>
      <c r="C243" s="1" t="s">
        <v>247</v>
      </c>
      <c r="D243" s="3">
        <v>45682.0</v>
      </c>
      <c r="E243" s="3">
        <v>46217.0</v>
      </c>
      <c r="F243" s="1">
        <v>5.0</v>
      </c>
      <c r="G243" s="1">
        <v>436.55</v>
      </c>
      <c r="H243" s="1">
        <v>87.31</v>
      </c>
      <c r="I243" s="1">
        <v>0.0</v>
      </c>
      <c r="J243" s="1" t="s">
        <v>14</v>
      </c>
      <c r="K243" s="1">
        <v>2.0</v>
      </c>
    </row>
    <row r="244">
      <c r="A244" s="1" t="s">
        <v>279</v>
      </c>
      <c r="B244" s="1" t="s">
        <v>16</v>
      </c>
      <c r="C244" s="1" t="s">
        <v>247</v>
      </c>
      <c r="D244" s="3">
        <v>45656.0</v>
      </c>
      <c r="E244" s="3">
        <v>46021.0</v>
      </c>
      <c r="F244" s="1">
        <v>5.0</v>
      </c>
      <c r="G244" s="1">
        <v>472.45</v>
      </c>
      <c r="H244" s="1">
        <v>94.49</v>
      </c>
      <c r="I244" s="1">
        <v>196.0</v>
      </c>
      <c r="J244" s="1" t="s">
        <v>17</v>
      </c>
      <c r="K244" s="1">
        <v>1.0</v>
      </c>
    </row>
    <row r="245">
      <c r="A245" s="1" t="s">
        <v>280</v>
      </c>
      <c r="B245" s="1" t="s">
        <v>24</v>
      </c>
      <c r="C245" s="1" t="s">
        <v>247</v>
      </c>
      <c r="D245" s="3">
        <v>45963.0</v>
      </c>
      <c r="E245" s="3">
        <v>45963.0</v>
      </c>
      <c r="F245" s="1">
        <v>1.0</v>
      </c>
      <c r="G245" s="1">
        <v>71.1</v>
      </c>
      <c r="H245" s="1">
        <v>71.1</v>
      </c>
      <c r="I245" s="1">
        <v>254.0</v>
      </c>
      <c r="J245" s="1" t="s">
        <v>14</v>
      </c>
      <c r="K245" s="1">
        <v>1.0</v>
      </c>
    </row>
    <row r="246">
      <c r="A246" s="1" t="s">
        <v>281</v>
      </c>
      <c r="B246" s="1" t="s">
        <v>75</v>
      </c>
      <c r="C246" s="1" t="s">
        <v>247</v>
      </c>
      <c r="D246" s="3">
        <v>45485.0</v>
      </c>
      <c r="E246" s="3">
        <v>45556.0</v>
      </c>
      <c r="F246" s="1">
        <v>6.0</v>
      </c>
      <c r="G246" s="1">
        <v>827.88</v>
      </c>
      <c r="H246" s="1">
        <v>137.98</v>
      </c>
      <c r="I246" s="1">
        <v>661.0</v>
      </c>
      <c r="J246" s="1" t="s">
        <v>17</v>
      </c>
      <c r="K246" s="1">
        <v>1.0</v>
      </c>
    </row>
    <row r="247">
      <c r="A247" s="1" t="s">
        <v>282</v>
      </c>
      <c r="B247" s="1" t="s">
        <v>16</v>
      </c>
      <c r="C247" s="1" t="s">
        <v>247</v>
      </c>
      <c r="D247" s="3">
        <v>45856.0</v>
      </c>
      <c r="E247" s="3">
        <v>45856.0</v>
      </c>
      <c r="F247" s="1">
        <v>1.0</v>
      </c>
      <c r="G247" s="1">
        <v>117.92</v>
      </c>
      <c r="H247" s="1">
        <v>117.92</v>
      </c>
      <c r="I247" s="1">
        <v>361.0</v>
      </c>
      <c r="J247" s="1" t="s">
        <v>14</v>
      </c>
      <c r="K247" s="1">
        <v>1.0</v>
      </c>
    </row>
    <row r="248">
      <c r="A248" s="1" t="s">
        <v>283</v>
      </c>
      <c r="B248" s="1" t="s">
        <v>27</v>
      </c>
      <c r="C248" s="1" t="s">
        <v>247</v>
      </c>
      <c r="D248" s="3">
        <v>46105.0</v>
      </c>
      <c r="E248" s="3">
        <v>46217.0</v>
      </c>
      <c r="F248" s="1">
        <v>7.0</v>
      </c>
      <c r="G248" s="1">
        <v>674.17</v>
      </c>
      <c r="H248" s="1">
        <v>96.31</v>
      </c>
      <c r="I248" s="1">
        <v>0.0</v>
      </c>
      <c r="J248" s="1" t="s">
        <v>17</v>
      </c>
      <c r="K248" s="1">
        <v>1.0</v>
      </c>
    </row>
    <row r="249">
      <c r="A249" s="1" t="s">
        <v>284</v>
      </c>
      <c r="B249" s="1" t="s">
        <v>75</v>
      </c>
      <c r="C249" s="1" t="s">
        <v>247</v>
      </c>
      <c r="D249" s="3">
        <v>46127.0</v>
      </c>
      <c r="E249" s="3">
        <v>46127.0</v>
      </c>
      <c r="F249" s="1">
        <v>1.0</v>
      </c>
      <c r="G249" s="1">
        <v>61.38</v>
      </c>
      <c r="H249" s="1">
        <v>61.38</v>
      </c>
      <c r="I249" s="1">
        <v>90.0</v>
      </c>
      <c r="J249" s="1" t="s">
        <v>17</v>
      </c>
      <c r="K249" s="1">
        <v>0.0</v>
      </c>
    </row>
    <row r="250">
      <c r="A250" s="1" t="s">
        <v>285</v>
      </c>
      <c r="B250" s="1" t="s">
        <v>12</v>
      </c>
      <c r="C250" s="1" t="s">
        <v>247</v>
      </c>
      <c r="D250" s="3">
        <v>46105.0</v>
      </c>
      <c r="E250" s="3">
        <v>46105.0</v>
      </c>
      <c r="F250" s="1">
        <v>1.0</v>
      </c>
      <c r="G250" s="1">
        <v>62.94</v>
      </c>
      <c r="H250" s="1">
        <v>62.94</v>
      </c>
      <c r="I250" s="1">
        <v>112.0</v>
      </c>
      <c r="J250" s="1" t="s">
        <v>17</v>
      </c>
      <c r="K250" s="1">
        <v>0.0</v>
      </c>
    </row>
    <row r="251">
      <c r="A251" s="1" t="s">
        <v>286</v>
      </c>
      <c r="B251" s="1" t="s">
        <v>96</v>
      </c>
      <c r="C251" s="1" t="s">
        <v>247</v>
      </c>
      <c r="D251" s="3">
        <v>45625.0</v>
      </c>
      <c r="E251" s="3">
        <v>45625.0</v>
      </c>
      <c r="F251" s="1">
        <v>1.0</v>
      </c>
      <c r="G251" s="1">
        <v>102.04</v>
      </c>
      <c r="H251" s="1">
        <v>102.04</v>
      </c>
      <c r="I251" s="1">
        <v>592.0</v>
      </c>
      <c r="J251" s="1" t="s">
        <v>17</v>
      </c>
      <c r="K251" s="1">
        <v>0.0</v>
      </c>
    </row>
    <row r="252">
      <c r="A252" s="1" t="s">
        <v>287</v>
      </c>
      <c r="B252" s="1" t="s">
        <v>16</v>
      </c>
      <c r="C252" s="1" t="s">
        <v>247</v>
      </c>
      <c r="D252" s="3">
        <v>45491.0</v>
      </c>
      <c r="E252" s="3">
        <v>45896.0</v>
      </c>
      <c r="F252" s="1">
        <v>3.0</v>
      </c>
      <c r="G252" s="1">
        <v>466.02</v>
      </c>
      <c r="H252" s="1">
        <v>155.34</v>
      </c>
      <c r="I252" s="1">
        <v>321.0</v>
      </c>
      <c r="J252" s="1" t="s">
        <v>14</v>
      </c>
      <c r="K252" s="1">
        <v>0.0</v>
      </c>
    </row>
    <row r="253">
      <c r="A253" s="1" t="s">
        <v>288</v>
      </c>
      <c r="B253" s="1" t="s">
        <v>24</v>
      </c>
      <c r="C253" s="1" t="s">
        <v>247</v>
      </c>
      <c r="D253" s="3">
        <v>46116.0</v>
      </c>
      <c r="E253" s="3">
        <v>46217.0</v>
      </c>
      <c r="F253" s="1">
        <v>7.0</v>
      </c>
      <c r="G253" s="1">
        <v>611.94</v>
      </c>
      <c r="H253" s="1">
        <v>87.42</v>
      </c>
      <c r="I253" s="1">
        <v>0.0</v>
      </c>
      <c r="J253" s="1" t="s">
        <v>17</v>
      </c>
      <c r="K253" s="1">
        <v>0.0</v>
      </c>
    </row>
    <row r="254">
      <c r="A254" s="1" t="s">
        <v>289</v>
      </c>
      <c r="B254" s="1" t="s">
        <v>16</v>
      </c>
      <c r="C254" s="1" t="s">
        <v>247</v>
      </c>
      <c r="D254" s="3">
        <v>46043.0</v>
      </c>
      <c r="E254" s="3">
        <v>46215.0</v>
      </c>
      <c r="F254" s="1">
        <v>8.0</v>
      </c>
      <c r="G254" s="1">
        <v>633.68</v>
      </c>
      <c r="H254" s="1">
        <v>79.21</v>
      </c>
      <c r="I254" s="1">
        <v>2.0</v>
      </c>
      <c r="J254" s="1" t="s">
        <v>17</v>
      </c>
      <c r="K254" s="1">
        <v>0.0</v>
      </c>
    </row>
    <row r="255">
      <c r="A255" s="1" t="s">
        <v>290</v>
      </c>
      <c r="B255" s="1" t="s">
        <v>27</v>
      </c>
      <c r="C255" s="1" t="s">
        <v>247</v>
      </c>
      <c r="D255" s="3">
        <v>45805.0</v>
      </c>
      <c r="E255" s="3">
        <v>45805.0</v>
      </c>
      <c r="F255" s="1">
        <v>1.0</v>
      </c>
      <c r="G255" s="1">
        <v>149.21</v>
      </c>
      <c r="H255" s="1">
        <v>149.21</v>
      </c>
      <c r="I255" s="1">
        <v>412.0</v>
      </c>
      <c r="J255" s="1" t="s">
        <v>17</v>
      </c>
      <c r="K255" s="1">
        <v>0.0</v>
      </c>
    </row>
    <row r="256">
      <c r="A256" s="1" t="s">
        <v>291</v>
      </c>
      <c r="B256" s="1" t="s">
        <v>16</v>
      </c>
      <c r="C256" s="1" t="s">
        <v>247</v>
      </c>
      <c r="D256" s="3">
        <v>45778.0</v>
      </c>
      <c r="E256" s="3">
        <v>45778.0</v>
      </c>
      <c r="F256" s="1">
        <v>1.0</v>
      </c>
      <c r="G256" s="1">
        <v>50.95</v>
      </c>
      <c r="H256" s="1">
        <v>50.95</v>
      </c>
      <c r="I256" s="1">
        <v>439.0</v>
      </c>
      <c r="J256" s="1" t="s">
        <v>17</v>
      </c>
      <c r="K256" s="1">
        <v>0.0</v>
      </c>
    </row>
    <row r="257">
      <c r="A257" s="1" t="s">
        <v>292</v>
      </c>
      <c r="B257" s="1" t="s">
        <v>16</v>
      </c>
      <c r="C257" s="1" t="s">
        <v>247</v>
      </c>
      <c r="D257" s="3">
        <v>45950.0</v>
      </c>
      <c r="E257" s="3">
        <v>45950.0</v>
      </c>
      <c r="F257" s="1">
        <v>1.0</v>
      </c>
      <c r="G257" s="1">
        <v>154.72</v>
      </c>
      <c r="H257" s="1">
        <v>154.72</v>
      </c>
      <c r="I257" s="1">
        <v>267.0</v>
      </c>
      <c r="J257" s="1" t="s">
        <v>17</v>
      </c>
      <c r="K257" s="1">
        <v>0.0</v>
      </c>
    </row>
    <row r="258">
      <c r="A258" s="1" t="s">
        <v>293</v>
      </c>
      <c r="B258" s="1" t="s">
        <v>36</v>
      </c>
      <c r="C258" s="1" t="s">
        <v>247</v>
      </c>
      <c r="D258" s="3">
        <v>45758.0</v>
      </c>
      <c r="E258" s="3">
        <v>45758.0</v>
      </c>
      <c r="F258" s="1">
        <v>1.0</v>
      </c>
      <c r="G258" s="1">
        <v>71.6</v>
      </c>
      <c r="H258" s="1">
        <v>71.6</v>
      </c>
      <c r="I258" s="1">
        <v>459.0</v>
      </c>
      <c r="J258" s="1" t="s">
        <v>17</v>
      </c>
      <c r="K258" s="1">
        <v>0.0</v>
      </c>
    </row>
    <row r="259">
      <c r="A259" s="1" t="s">
        <v>294</v>
      </c>
      <c r="B259" s="1" t="s">
        <v>34</v>
      </c>
      <c r="C259" s="1" t="s">
        <v>247</v>
      </c>
      <c r="D259" s="3">
        <v>45898.0</v>
      </c>
      <c r="E259" s="3">
        <v>46144.0</v>
      </c>
      <c r="F259" s="1">
        <v>6.0</v>
      </c>
      <c r="G259" s="1">
        <v>399.54</v>
      </c>
      <c r="H259" s="1">
        <v>66.59</v>
      </c>
      <c r="I259" s="1">
        <v>73.0</v>
      </c>
      <c r="J259" s="1" t="s">
        <v>17</v>
      </c>
      <c r="K259" s="1">
        <v>0.0</v>
      </c>
    </row>
    <row r="260">
      <c r="A260" s="1" t="s">
        <v>295</v>
      </c>
      <c r="B260" s="1" t="s">
        <v>24</v>
      </c>
      <c r="C260" s="1" t="s">
        <v>247</v>
      </c>
      <c r="D260" s="3">
        <v>46039.0</v>
      </c>
      <c r="E260" s="3">
        <v>46217.0</v>
      </c>
      <c r="F260" s="1">
        <v>3.0</v>
      </c>
      <c r="G260" s="1">
        <v>438.42</v>
      </c>
      <c r="H260" s="1">
        <v>146.14</v>
      </c>
      <c r="I260" s="1">
        <v>0.0</v>
      </c>
      <c r="J260" s="1" t="s">
        <v>17</v>
      </c>
      <c r="K260" s="1">
        <v>0.0</v>
      </c>
    </row>
    <row r="261">
      <c r="A261" s="1" t="s">
        <v>296</v>
      </c>
      <c r="B261" s="1" t="s">
        <v>27</v>
      </c>
      <c r="C261" s="1" t="s">
        <v>247</v>
      </c>
      <c r="D261" s="3">
        <v>45610.0</v>
      </c>
      <c r="E261" s="3">
        <v>45610.0</v>
      </c>
      <c r="F261" s="1">
        <v>1.0</v>
      </c>
      <c r="G261" s="1">
        <v>94.38</v>
      </c>
      <c r="H261" s="1">
        <v>94.38</v>
      </c>
      <c r="I261" s="1">
        <v>607.0</v>
      </c>
      <c r="J261" s="1" t="s">
        <v>17</v>
      </c>
      <c r="K261" s="1">
        <v>0.0</v>
      </c>
    </row>
    <row r="262">
      <c r="A262" s="1" t="s">
        <v>297</v>
      </c>
      <c r="B262" s="1" t="s">
        <v>34</v>
      </c>
      <c r="C262" s="1" t="s">
        <v>247</v>
      </c>
      <c r="D262" s="3">
        <v>45931.0</v>
      </c>
      <c r="E262" s="3">
        <v>46217.0</v>
      </c>
      <c r="F262" s="1">
        <v>4.0</v>
      </c>
      <c r="G262" s="1">
        <v>253.56</v>
      </c>
      <c r="H262" s="1">
        <v>63.39</v>
      </c>
      <c r="I262" s="1">
        <v>0.0</v>
      </c>
      <c r="J262" s="1" t="s">
        <v>17</v>
      </c>
      <c r="K262" s="1">
        <v>0.0</v>
      </c>
    </row>
    <row r="263">
      <c r="A263" s="1" t="s">
        <v>298</v>
      </c>
      <c r="B263" s="1" t="s">
        <v>34</v>
      </c>
      <c r="C263" s="1" t="s">
        <v>247</v>
      </c>
      <c r="D263" s="3">
        <v>46091.0</v>
      </c>
      <c r="E263" s="3">
        <v>46217.0</v>
      </c>
      <c r="F263" s="1">
        <v>3.0</v>
      </c>
      <c r="G263" s="1">
        <v>542.22</v>
      </c>
      <c r="H263" s="1">
        <v>180.74</v>
      </c>
      <c r="I263" s="1">
        <v>0.0</v>
      </c>
      <c r="J263" s="1" t="s">
        <v>17</v>
      </c>
      <c r="K263" s="1">
        <v>0.0</v>
      </c>
    </row>
    <row r="264">
      <c r="A264" s="1" t="s">
        <v>299</v>
      </c>
      <c r="B264" s="1" t="s">
        <v>16</v>
      </c>
      <c r="C264" s="1" t="s">
        <v>247</v>
      </c>
      <c r="D264" s="3">
        <v>45828.0</v>
      </c>
      <c r="E264" s="3">
        <v>46086.0</v>
      </c>
      <c r="F264" s="1">
        <v>7.0</v>
      </c>
      <c r="G264" s="1">
        <v>740.39</v>
      </c>
      <c r="H264" s="1">
        <v>105.77</v>
      </c>
      <c r="I264" s="1">
        <v>131.0</v>
      </c>
      <c r="J264" s="1" t="s">
        <v>17</v>
      </c>
      <c r="K264" s="1">
        <v>0.0</v>
      </c>
    </row>
    <row r="265">
      <c r="A265" s="1" t="s">
        <v>300</v>
      </c>
      <c r="B265" s="1" t="s">
        <v>27</v>
      </c>
      <c r="C265" s="1" t="s">
        <v>240</v>
      </c>
      <c r="D265" s="3">
        <v>46032.0</v>
      </c>
      <c r="E265" s="3">
        <v>46032.0</v>
      </c>
      <c r="F265" s="1">
        <v>1.0</v>
      </c>
      <c r="G265" s="1">
        <v>132.09</v>
      </c>
      <c r="H265" s="1">
        <v>132.09</v>
      </c>
      <c r="I265" s="1">
        <v>185.0</v>
      </c>
      <c r="J265" s="1" t="s">
        <v>14</v>
      </c>
      <c r="K265" s="1">
        <v>2.0</v>
      </c>
    </row>
    <row r="266">
      <c r="A266" s="1" t="s">
        <v>301</v>
      </c>
      <c r="B266" s="1" t="s">
        <v>96</v>
      </c>
      <c r="C266" s="1" t="s">
        <v>240</v>
      </c>
      <c r="D266" s="3">
        <v>45707.0</v>
      </c>
      <c r="E266" s="3">
        <v>45707.0</v>
      </c>
      <c r="F266" s="1">
        <v>1.0</v>
      </c>
      <c r="G266" s="1">
        <v>132.7</v>
      </c>
      <c r="H266" s="1">
        <v>132.7</v>
      </c>
      <c r="I266" s="1">
        <v>510.0</v>
      </c>
      <c r="J266" s="1" t="s">
        <v>17</v>
      </c>
      <c r="K266" s="1">
        <v>2.0</v>
      </c>
    </row>
    <row r="267">
      <c r="A267" s="1" t="s">
        <v>302</v>
      </c>
      <c r="B267" s="1" t="s">
        <v>27</v>
      </c>
      <c r="C267" s="1" t="s">
        <v>240</v>
      </c>
      <c r="D267" s="3">
        <v>46136.0</v>
      </c>
      <c r="E267" s="3">
        <v>46217.0</v>
      </c>
      <c r="F267" s="1">
        <v>2.0</v>
      </c>
      <c r="G267" s="1">
        <v>166.04</v>
      </c>
      <c r="H267" s="1">
        <v>83.02</v>
      </c>
      <c r="I267" s="1">
        <v>0.0</v>
      </c>
      <c r="J267" s="1" t="s">
        <v>14</v>
      </c>
      <c r="K267" s="1">
        <v>2.0</v>
      </c>
    </row>
    <row r="268">
      <c r="A268" s="1" t="s">
        <v>303</v>
      </c>
      <c r="B268" s="1" t="s">
        <v>19</v>
      </c>
      <c r="C268" s="1" t="s">
        <v>240</v>
      </c>
      <c r="D268" s="3">
        <v>45560.0</v>
      </c>
      <c r="E268" s="3">
        <v>45560.0</v>
      </c>
      <c r="F268" s="1">
        <v>1.0</v>
      </c>
      <c r="G268" s="1">
        <v>56.06</v>
      </c>
      <c r="H268" s="1">
        <v>56.06</v>
      </c>
      <c r="I268" s="1">
        <v>657.0</v>
      </c>
      <c r="J268" s="1" t="s">
        <v>17</v>
      </c>
      <c r="K268" s="1">
        <v>2.0</v>
      </c>
    </row>
    <row r="269">
      <c r="A269" s="1" t="s">
        <v>304</v>
      </c>
      <c r="B269" s="1" t="s">
        <v>29</v>
      </c>
      <c r="C269" s="1" t="s">
        <v>240</v>
      </c>
      <c r="D269" s="3">
        <v>45739.0</v>
      </c>
      <c r="E269" s="3">
        <v>46217.0</v>
      </c>
      <c r="F269" s="1">
        <v>2.0</v>
      </c>
      <c r="G269" s="1">
        <v>225.52</v>
      </c>
      <c r="H269" s="1">
        <v>112.76</v>
      </c>
      <c r="I269" s="1">
        <v>0.0</v>
      </c>
      <c r="J269" s="1" t="s">
        <v>17</v>
      </c>
      <c r="K269" s="1">
        <v>2.0</v>
      </c>
    </row>
    <row r="270">
      <c r="A270" s="1" t="s">
        <v>305</v>
      </c>
      <c r="B270" s="1" t="s">
        <v>27</v>
      </c>
      <c r="C270" s="1" t="s">
        <v>240</v>
      </c>
      <c r="D270" s="3">
        <v>46018.0</v>
      </c>
      <c r="E270" s="3">
        <v>46018.0</v>
      </c>
      <c r="F270" s="1">
        <v>1.0</v>
      </c>
      <c r="G270" s="1">
        <v>71.31</v>
      </c>
      <c r="H270" s="1">
        <v>71.31</v>
      </c>
      <c r="I270" s="1">
        <v>199.0</v>
      </c>
      <c r="J270" s="1" t="s">
        <v>17</v>
      </c>
      <c r="K270" s="1">
        <v>1.0</v>
      </c>
    </row>
    <row r="271">
      <c r="A271" s="1" t="s">
        <v>306</v>
      </c>
      <c r="B271" s="1" t="s">
        <v>19</v>
      </c>
      <c r="C271" s="1" t="s">
        <v>240</v>
      </c>
      <c r="D271" s="3">
        <v>45534.0</v>
      </c>
      <c r="E271" s="3">
        <v>45534.0</v>
      </c>
      <c r="F271" s="1">
        <v>1.0</v>
      </c>
      <c r="G271" s="1">
        <v>61.2</v>
      </c>
      <c r="H271" s="1">
        <v>61.2</v>
      </c>
      <c r="I271" s="1">
        <v>683.0</v>
      </c>
      <c r="J271" s="1" t="s">
        <v>17</v>
      </c>
      <c r="K271" s="1">
        <v>1.0</v>
      </c>
    </row>
    <row r="272">
      <c r="A272" s="1" t="s">
        <v>307</v>
      </c>
      <c r="B272" s="1" t="s">
        <v>96</v>
      </c>
      <c r="C272" s="1" t="s">
        <v>240</v>
      </c>
      <c r="D272" s="3">
        <v>45602.0</v>
      </c>
      <c r="E272" s="3">
        <v>45602.0</v>
      </c>
      <c r="F272" s="1">
        <v>1.0</v>
      </c>
      <c r="G272" s="1">
        <v>55.35</v>
      </c>
      <c r="H272" s="1">
        <v>55.35</v>
      </c>
      <c r="I272" s="1">
        <v>615.0</v>
      </c>
      <c r="J272" s="1" t="s">
        <v>17</v>
      </c>
      <c r="K272" s="1">
        <v>1.0</v>
      </c>
    </row>
    <row r="273">
      <c r="A273" s="1" t="s">
        <v>308</v>
      </c>
      <c r="B273" s="1" t="s">
        <v>12</v>
      </c>
      <c r="C273" s="1" t="s">
        <v>240</v>
      </c>
      <c r="D273" s="3">
        <v>45693.0</v>
      </c>
      <c r="E273" s="3">
        <v>45693.0</v>
      </c>
      <c r="F273" s="1">
        <v>1.0</v>
      </c>
      <c r="G273" s="1">
        <v>126.68</v>
      </c>
      <c r="H273" s="1">
        <v>126.68</v>
      </c>
      <c r="I273" s="1">
        <v>524.0</v>
      </c>
      <c r="J273" s="1" t="s">
        <v>17</v>
      </c>
      <c r="K273" s="1">
        <v>1.0</v>
      </c>
    </row>
    <row r="274">
      <c r="A274" s="1" t="s">
        <v>309</v>
      </c>
      <c r="B274" s="1" t="s">
        <v>16</v>
      </c>
      <c r="C274" s="1" t="s">
        <v>240</v>
      </c>
      <c r="D274" s="3">
        <v>46118.0</v>
      </c>
      <c r="E274" s="3">
        <v>46217.0</v>
      </c>
      <c r="F274" s="1">
        <v>8.0</v>
      </c>
      <c r="G274" s="1">
        <v>1109.44</v>
      </c>
      <c r="H274" s="1">
        <v>138.68</v>
      </c>
      <c r="I274" s="1">
        <v>0.0</v>
      </c>
      <c r="J274" s="1" t="s">
        <v>17</v>
      </c>
      <c r="K274" s="1">
        <v>0.0</v>
      </c>
    </row>
    <row r="275">
      <c r="A275" s="1" t="s">
        <v>310</v>
      </c>
      <c r="B275" s="1" t="s">
        <v>27</v>
      </c>
      <c r="C275" s="1" t="s">
        <v>240</v>
      </c>
      <c r="D275" s="3">
        <v>45839.0</v>
      </c>
      <c r="E275" s="3">
        <v>45839.0</v>
      </c>
      <c r="F275" s="1">
        <v>1.0</v>
      </c>
      <c r="G275" s="1">
        <v>103.08</v>
      </c>
      <c r="H275" s="1">
        <v>103.08</v>
      </c>
      <c r="I275" s="1">
        <v>378.0</v>
      </c>
      <c r="J275" s="1" t="s">
        <v>17</v>
      </c>
      <c r="K275" s="1">
        <v>0.0</v>
      </c>
    </row>
    <row r="276">
      <c r="A276" s="1" t="s">
        <v>311</v>
      </c>
      <c r="B276" s="1" t="s">
        <v>16</v>
      </c>
      <c r="C276" s="1" t="s">
        <v>240</v>
      </c>
      <c r="D276" s="3">
        <v>46082.0</v>
      </c>
      <c r="E276" s="3">
        <v>46082.0</v>
      </c>
      <c r="F276" s="1">
        <v>1.0</v>
      </c>
      <c r="G276" s="1">
        <v>80.78</v>
      </c>
      <c r="H276" s="1">
        <v>80.78</v>
      </c>
      <c r="I276" s="1">
        <v>135.0</v>
      </c>
      <c r="J276" s="1" t="s">
        <v>17</v>
      </c>
      <c r="K276" s="1">
        <v>0.0</v>
      </c>
    </row>
    <row r="277">
      <c r="A277" s="1" t="s">
        <v>312</v>
      </c>
      <c r="B277" s="1" t="s">
        <v>22</v>
      </c>
      <c r="C277" s="1" t="s">
        <v>240</v>
      </c>
      <c r="D277" s="3">
        <v>45487.0</v>
      </c>
      <c r="E277" s="3">
        <v>45649.0</v>
      </c>
      <c r="F277" s="1">
        <v>5.0</v>
      </c>
      <c r="G277" s="1">
        <v>221.9</v>
      </c>
      <c r="H277" s="1">
        <v>44.38</v>
      </c>
      <c r="I277" s="1">
        <v>568.0</v>
      </c>
      <c r="J277" s="1" t="s">
        <v>17</v>
      </c>
      <c r="K277" s="1">
        <v>0.0</v>
      </c>
    </row>
    <row r="278">
      <c r="A278" s="1" t="s">
        <v>313</v>
      </c>
      <c r="B278" s="1" t="s">
        <v>27</v>
      </c>
      <c r="C278" s="1" t="s">
        <v>240</v>
      </c>
      <c r="D278" s="3">
        <v>46086.0</v>
      </c>
      <c r="E278" s="3">
        <v>46086.0</v>
      </c>
      <c r="F278" s="1">
        <v>1.0</v>
      </c>
      <c r="G278" s="1">
        <v>136.62</v>
      </c>
      <c r="H278" s="1">
        <v>136.62</v>
      </c>
      <c r="I278" s="1">
        <v>131.0</v>
      </c>
      <c r="J278" s="1" t="s">
        <v>17</v>
      </c>
      <c r="K278" s="1">
        <v>0.0</v>
      </c>
    </row>
    <row r="279">
      <c r="A279" s="1" t="s">
        <v>314</v>
      </c>
      <c r="B279" s="1" t="s">
        <v>24</v>
      </c>
      <c r="C279" s="1" t="s">
        <v>240</v>
      </c>
      <c r="D279" s="3">
        <v>45799.0</v>
      </c>
      <c r="E279" s="3">
        <v>45799.0</v>
      </c>
      <c r="F279" s="1">
        <v>1.0</v>
      </c>
      <c r="G279" s="1">
        <v>96.5</v>
      </c>
      <c r="H279" s="1">
        <v>96.5</v>
      </c>
      <c r="I279" s="1">
        <v>418.0</v>
      </c>
      <c r="J279" s="1" t="s">
        <v>14</v>
      </c>
      <c r="K279" s="1">
        <v>0.0</v>
      </c>
    </row>
    <row r="280">
      <c r="A280" s="1" t="s">
        <v>315</v>
      </c>
      <c r="B280" s="1" t="s">
        <v>29</v>
      </c>
      <c r="C280" s="1" t="s">
        <v>240</v>
      </c>
      <c r="D280" s="3">
        <v>45791.0</v>
      </c>
      <c r="E280" s="3">
        <v>45791.0</v>
      </c>
      <c r="F280" s="1">
        <v>1.0</v>
      </c>
      <c r="G280" s="1">
        <v>67.72</v>
      </c>
      <c r="H280" s="1">
        <v>67.72</v>
      </c>
      <c r="I280" s="1">
        <v>426.0</v>
      </c>
      <c r="J280" s="1" t="s">
        <v>14</v>
      </c>
      <c r="K280" s="1">
        <v>0.0</v>
      </c>
    </row>
    <row r="281">
      <c r="A281" s="1" t="s">
        <v>316</v>
      </c>
      <c r="B281" s="1" t="s">
        <v>36</v>
      </c>
      <c r="C281" s="1" t="s">
        <v>240</v>
      </c>
      <c r="D281" s="3">
        <v>46165.0</v>
      </c>
      <c r="E281" s="3">
        <v>46165.0</v>
      </c>
      <c r="F281" s="1">
        <v>1.0</v>
      </c>
      <c r="G281" s="1">
        <v>110.56</v>
      </c>
      <c r="H281" s="1">
        <v>110.56</v>
      </c>
      <c r="I281" s="1">
        <v>52.0</v>
      </c>
      <c r="J281" s="1" t="s">
        <v>17</v>
      </c>
      <c r="K281" s="1">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4" t="s">
        <v>3</v>
      </c>
      <c r="E1" s="4" t="s">
        <v>4</v>
      </c>
      <c r="F1" s="2" t="s">
        <v>5</v>
      </c>
      <c r="G1" s="5" t="s">
        <v>6</v>
      </c>
      <c r="H1" s="5" t="s">
        <v>7</v>
      </c>
      <c r="I1" s="2" t="s">
        <v>8</v>
      </c>
      <c r="J1" s="2" t="s">
        <v>9</v>
      </c>
      <c r="K1" s="2" t="s">
        <v>10</v>
      </c>
    </row>
    <row r="2">
      <c r="A2" s="1" t="s">
        <v>11</v>
      </c>
      <c r="B2" s="1" t="s">
        <v>12</v>
      </c>
      <c r="C2" s="1" t="s">
        <v>13</v>
      </c>
      <c r="D2" s="6">
        <v>46139.0</v>
      </c>
      <c r="E2" s="6">
        <v>46217.0</v>
      </c>
      <c r="F2" s="1">
        <v>8.0</v>
      </c>
      <c r="G2" s="7">
        <v>776.32</v>
      </c>
      <c r="H2" s="7">
        <v>97.04</v>
      </c>
      <c r="I2" s="1">
        <v>0.0</v>
      </c>
      <c r="J2" s="1" t="s">
        <v>14</v>
      </c>
      <c r="K2" s="1">
        <v>2.0</v>
      </c>
    </row>
    <row r="3">
      <c r="A3" s="1" t="s">
        <v>15</v>
      </c>
      <c r="B3" s="1" t="s">
        <v>16</v>
      </c>
      <c r="C3" s="1" t="s">
        <v>13</v>
      </c>
      <c r="D3" s="6">
        <v>45859.0</v>
      </c>
      <c r="E3" s="6">
        <v>45859.0</v>
      </c>
      <c r="F3" s="1">
        <v>1.0</v>
      </c>
      <c r="G3" s="7">
        <v>155.28</v>
      </c>
      <c r="H3" s="7">
        <v>155.28</v>
      </c>
      <c r="I3" s="1">
        <v>358.0</v>
      </c>
      <c r="J3" s="1" t="s">
        <v>17</v>
      </c>
      <c r="K3" s="1">
        <v>2.0</v>
      </c>
    </row>
    <row r="4">
      <c r="A4" s="1" t="s">
        <v>18</v>
      </c>
      <c r="B4" s="1" t="s">
        <v>19</v>
      </c>
      <c r="C4" s="1" t="s">
        <v>13</v>
      </c>
      <c r="D4" s="6">
        <v>46172.0</v>
      </c>
      <c r="E4" s="6">
        <v>46172.0</v>
      </c>
      <c r="F4" s="1">
        <v>1.0</v>
      </c>
      <c r="G4" s="7">
        <v>92.65</v>
      </c>
      <c r="H4" s="7">
        <v>92.65</v>
      </c>
      <c r="I4" s="1">
        <v>45.0</v>
      </c>
      <c r="J4" s="1" t="s">
        <v>17</v>
      </c>
      <c r="K4" s="1">
        <v>1.0</v>
      </c>
    </row>
    <row r="5">
      <c r="A5" s="1" t="s">
        <v>20</v>
      </c>
      <c r="B5" s="1" t="s">
        <v>12</v>
      </c>
      <c r="C5" s="1" t="s">
        <v>13</v>
      </c>
      <c r="D5" s="6">
        <v>45873.0</v>
      </c>
      <c r="E5" s="6">
        <v>45873.0</v>
      </c>
      <c r="F5" s="1">
        <v>1.0</v>
      </c>
      <c r="G5" s="7">
        <v>97.3</v>
      </c>
      <c r="H5" s="7">
        <v>97.3</v>
      </c>
      <c r="I5" s="1">
        <v>344.0</v>
      </c>
      <c r="J5" s="1" t="s">
        <v>14</v>
      </c>
      <c r="K5" s="1">
        <v>1.0</v>
      </c>
    </row>
    <row r="6">
      <c r="A6" s="1" t="s">
        <v>21</v>
      </c>
      <c r="B6" s="1" t="s">
        <v>22</v>
      </c>
      <c r="C6" s="1" t="s">
        <v>13</v>
      </c>
      <c r="D6" s="6">
        <v>45709.0</v>
      </c>
      <c r="E6" s="6">
        <v>45709.0</v>
      </c>
      <c r="F6" s="1">
        <v>1.0</v>
      </c>
      <c r="G6" s="7">
        <v>92.38</v>
      </c>
      <c r="H6" s="7">
        <v>92.38</v>
      </c>
      <c r="I6" s="1">
        <v>508.0</v>
      </c>
      <c r="J6" s="1" t="s">
        <v>17</v>
      </c>
      <c r="K6" s="1">
        <v>1.0</v>
      </c>
    </row>
    <row r="7">
      <c r="A7" s="1" t="s">
        <v>23</v>
      </c>
      <c r="B7" s="1" t="s">
        <v>24</v>
      </c>
      <c r="C7" s="1" t="s">
        <v>13</v>
      </c>
      <c r="D7" s="6">
        <v>45981.0</v>
      </c>
      <c r="E7" s="6">
        <v>45981.0</v>
      </c>
      <c r="F7" s="1">
        <v>1.0</v>
      </c>
      <c r="G7" s="7">
        <v>91.6</v>
      </c>
      <c r="H7" s="7">
        <v>91.6</v>
      </c>
      <c r="I7" s="1">
        <v>236.0</v>
      </c>
      <c r="J7" s="1" t="s">
        <v>17</v>
      </c>
      <c r="K7" s="1">
        <v>1.0</v>
      </c>
    </row>
    <row r="8">
      <c r="A8" s="1" t="s">
        <v>25</v>
      </c>
      <c r="B8" s="1" t="s">
        <v>19</v>
      </c>
      <c r="C8" s="1" t="s">
        <v>13</v>
      </c>
      <c r="D8" s="6">
        <v>46145.0</v>
      </c>
      <c r="E8" s="6">
        <v>46145.0</v>
      </c>
      <c r="F8" s="1">
        <v>1.0</v>
      </c>
      <c r="G8" s="7">
        <v>133.13</v>
      </c>
      <c r="H8" s="7">
        <v>133.13</v>
      </c>
      <c r="I8" s="1">
        <v>72.0</v>
      </c>
      <c r="J8" s="1" t="s">
        <v>17</v>
      </c>
      <c r="K8" s="1">
        <v>1.0</v>
      </c>
    </row>
    <row r="9">
      <c r="A9" s="1" t="s">
        <v>26</v>
      </c>
      <c r="B9" s="1" t="s">
        <v>27</v>
      </c>
      <c r="C9" s="1" t="s">
        <v>13</v>
      </c>
      <c r="D9" s="6">
        <v>45537.0</v>
      </c>
      <c r="E9" s="6">
        <v>45537.0</v>
      </c>
      <c r="F9" s="1">
        <v>1.0</v>
      </c>
      <c r="G9" s="7">
        <v>92.04</v>
      </c>
      <c r="H9" s="7">
        <v>92.04</v>
      </c>
      <c r="I9" s="1">
        <v>680.0</v>
      </c>
      <c r="J9" s="1" t="s">
        <v>17</v>
      </c>
      <c r="K9" s="1">
        <v>1.0</v>
      </c>
    </row>
    <row r="10">
      <c r="A10" s="1" t="s">
        <v>28</v>
      </c>
      <c r="B10" s="1" t="s">
        <v>29</v>
      </c>
      <c r="C10" s="1" t="s">
        <v>13</v>
      </c>
      <c r="D10" s="6">
        <v>46170.0</v>
      </c>
      <c r="E10" s="6">
        <v>46217.0</v>
      </c>
      <c r="F10" s="1">
        <v>3.0</v>
      </c>
      <c r="G10" s="7">
        <v>405.69</v>
      </c>
      <c r="H10" s="7">
        <v>135.23</v>
      </c>
      <c r="I10" s="1">
        <v>0.0</v>
      </c>
      <c r="J10" s="1" t="s">
        <v>14</v>
      </c>
      <c r="K10" s="1">
        <v>1.0</v>
      </c>
    </row>
    <row r="11">
      <c r="A11" s="1" t="s">
        <v>30</v>
      </c>
      <c r="B11" s="1" t="s">
        <v>31</v>
      </c>
      <c r="C11" s="1" t="s">
        <v>13</v>
      </c>
      <c r="D11" s="6">
        <v>45812.0</v>
      </c>
      <c r="E11" s="6">
        <v>46217.0</v>
      </c>
      <c r="F11" s="1">
        <v>4.0</v>
      </c>
      <c r="G11" s="7">
        <v>581.16</v>
      </c>
      <c r="H11" s="7">
        <v>145.29</v>
      </c>
      <c r="I11" s="1">
        <v>0.0</v>
      </c>
      <c r="J11" s="1" t="s">
        <v>17</v>
      </c>
      <c r="K11" s="1">
        <v>1.0</v>
      </c>
    </row>
    <row r="12">
      <c r="A12" s="1" t="s">
        <v>32</v>
      </c>
      <c r="B12" s="1" t="s">
        <v>12</v>
      </c>
      <c r="C12" s="1" t="s">
        <v>13</v>
      </c>
      <c r="D12" s="6">
        <v>45480.0</v>
      </c>
      <c r="E12" s="6">
        <v>45480.0</v>
      </c>
      <c r="F12" s="1">
        <v>1.0</v>
      </c>
      <c r="G12" s="7">
        <v>155.36</v>
      </c>
      <c r="H12" s="7">
        <v>155.36</v>
      </c>
      <c r="I12" s="1">
        <v>737.0</v>
      </c>
      <c r="J12" s="1" t="s">
        <v>17</v>
      </c>
      <c r="K12" s="1">
        <v>1.0</v>
      </c>
    </row>
    <row r="13">
      <c r="A13" s="1" t="s">
        <v>33</v>
      </c>
      <c r="B13" s="1" t="s">
        <v>34</v>
      </c>
      <c r="C13" s="1" t="s">
        <v>13</v>
      </c>
      <c r="D13" s="6">
        <v>45644.0</v>
      </c>
      <c r="E13" s="6">
        <v>45993.0</v>
      </c>
      <c r="F13" s="1">
        <v>4.0</v>
      </c>
      <c r="G13" s="7">
        <v>208.72</v>
      </c>
      <c r="H13" s="7">
        <v>52.18</v>
      </c>
      <c r="I13" s="1">
        <v>224.0</v>
      </c>
      <c r="J13" s="1" t="s">
        <v>17</v>
      </c>
      <c r="K13" s="1">
        <v>1.0</v>
      </c>
    </row>
    <row r="14">
      <c r="A14" s="1" t="s">
        <v>35</v>
      </c>
      <c r="B14" s="1" t="s">
        <v>36</v>
      </c>
      <c r="C14" s="1" t="s">
        <v>13</v>
      </c>
      <c r="D14" s="6">
        <v>45795.0</v>
      </c>
      <c r="E14" s="6">
        <v>45795.0</v>
      </c>
      <c r="F14" s="1">
        <v>1.0</v>
      </c>
      <c r="G14" s="7">
        <v>108.77</v>
      </c>
      <c r="H14" s="7">
        <v>108.77</v>
      </c>
      <c r="I14" s="1">
        <v>422.0</v>
      </c>
      <c r="J14" s="1" t="s">
        <v>17</v>
      </c>
      <c r="K14" s="1">
        <v>1.0</v>
      </c>
    </row>
    <row r="15">
      <c r="A15" s="1" t="s">
        <v>37</v>
      </c>
      <c r="B15" s="1" t="s">
        <v>24</v>
      </c>
      <c r="C15" s="1" t="s">
        <v>13</v>
      </c>
      <c r="D15" s="6">
        <v>46152.0</v>
      </c>
      <c r="E15" s="6">
        <v>46152.0</v>
      </c>
      <c r="F15" s="1">
        <v>1.0</v>
      </c>
      <c r="G15" s="7">
        <v>153.84</v>
      </c>
      <c r="H15" s="7">
        <v>153.84</v>
      </c>
      <c r="I15" s="1">
        <v>65.0</v>
      </c>
      <c r="J15" s="1" t="s">
        <v>14</v>
      </c>
      <c r="K15" s="1">
        <v>0.0</v>
      </c>
    </row>
    <row r="16">
      <c r="A16" s="1" t="s">
        <v>38</v>
      </c>
      <c r="B16" s="1" t="s">
        <v>16</v>
      </c>
      <c r="C16" s="1" t="s">
        <v>13</v>
      </c>
      <c r="D16" s="6">
        <v>45648.0</v>
      </c>
      <c r="E16" s="6">
        <v>45648.0</v>
      </c>
      <c r="F16" s="1">
        <v>1.0</v>
      </c>
      <c r="G16" s="7">
        <v>92.82</v>
      </c>
      <c r="H16" s="7">
        <v>92.82</v>
      </c>
      <c r="I16" s="1">
        <v>569.0</v>
      </c>
      <c r="J16" s="1" t="s">
        <v>17</v>
      </c>
      <c r="K16" s="1">
        <v>0.0</v>
      </c>
    </row>
    <row r="17">
      <c r="A17" s="1" t="s">
        <v>39</v>
      </c>
      <c r="B17" s="1" t="s">
        <v>24</v>
      </c>
      <c r="C17" s="1" t="s">
        <v>13</v>
      </c>
      <c r="D17" s="6">
        <v>45549.0</v>
      </c>
      <c r="E17" s="6">
        <v>45982.0</v>
      </c>
      <c r="F17" s="1">
        <v>7.0</v>
      </c>
      <c r="G17" s="7">
        <v>730.1</v>
      </c>
      <c r="H17" s="7">
        <v>104.3</v>
      </c>
      <c r="I17" s="1">
        <v>235.0</v>
      </c>
      <c r="J17" s="1" t="s">
        <v>17</v>
      </c>
      <c r="K17" s="1">
        <v>0.0</v>
      </c>
    </row>
    <row r="18">
      <c r="A18" s="1" t="s">
        <v>41</v>
      </c>
      <c r="B18" s="1" t="s">
        <v>34</v>
      </c>
      <c r="C18" s="1" t="s">
        <v>13</v>
      </c>
      <c r="D18" s="6">
        <v>45903.0</v>
      </c>
      <c r="E18" s="6">
        <v>46081.0</v>
      </c>
      <c r="F18" s="1">
        <v>8.0</v>
      </c>
      <c r="G18" s="7">
        <v>912.24</v>
      </c>
      <c r="H18" s="7">
        <v>114.03</v>
      </c>
      <c r="I18" s="1">
        <v>136.0</v>
      </c>
      <c r="J18" s="1" t="s">
        <v>14</v>
      </c>
      <c r="K18" s="1">
        <v>0.0</v>
      </c>
    </row>
    <row r="19">
      <c r="A19" s="1" t="s">
        <v>42</v>
      </c>
      <c r="B19" s="1" t="s">
        <v>16</v>
      </c>
      <c r="C19" s="1" t="s">
        <v>13</v>
      </c>
      <c r="D19" s="6">
        <v>45499.0</v>
      </c>
      <c r="E19" s="6">
        <v>45825.0</v>
      </c>
      <c r="F19" s="1">
        <v>7.0</v>
      </c>
      <c r="G19" s="7">
        <v>982.1</v>
      </c>
      <c r="H19" s="7">
        <v>140.3</v>
      </c>
      <c r="I19" s="1">
        <v>392.0</v>
      </c>
      <c r="J19" s="1" t="s">
        <v>14</v>
      </c>
      <c r="K19" s="1">
        <v>0.0</v>
      </c>
    </row>
    <row r="20">
      <c r="A20" s="1" t="s">
        <v>45</v>
      </c>
      <c r="B20" s="1" t="s">
        <v>29</v>
      </c>
      <c r="C20" s="1" t="s">
        <v>13</v>
      </c>
      <c r="D20" s="6">
        <v>46070.0</v>
      </c>
      <c r="E20" s="6">
        <v>46217.0</v>
      </c>
      <c r="F20" s="1">
        <v>7.0</v>
      </c>
      <c r="G20" s="7">
        <v>757.05</v>
      </c>
      <c r="H20" s="7">
        <v>108.15</v>
      </c>
      <c r="I20" s="1">
        <v>0.0</v>
      </c>
      <c r="J20" s="1" t="s">
        <v>17</v>
      </c>
      <c r="K20" s="1">
        <v>0.0</v>
      </c>
    </row>
    <row r="21">
      <c r="A21" s="1" t="s">
        <v>47</v>
      </c>
      <c r="B21" s="1" t="s">
        <v>19</v>
      </c>
      <c r="C21" s="1" t="s">
        <v>13</v>
      </c>
      <c r="D21" s="6">
        <v>45583.0</v>
      </c>
      <c r="E21" s="6">
        <v>45691.0</v>
      </c>
      <c r="F21" s="1">
        <v>7.0</v>
      </c>
      <c r="G21" s="7">
        <v>666.89</v>
      </c>
      <c r="H21" s="7">
        <v>95.27</v>
      </c>
      <c r="I21" s="1">
        <v>526.0</v>
      </c>
      <c r="J21" s="1" t="s">
        <v>17</v>
      </c>
      <c r="K21" s="1">
        <v>0.0</v>
      </c>
    </row>
    <row r="22">
      <c r="A22" s="1" t="s">
        <v>48</v>
      </c>
      <c r="B22" s="1" t="s">
        <v>27</v>
      </c>
      <c r="C22" s="1" t="s">
        <v>13</v>
      </c>
      <c r="D22" s="6">
        <v>45487.0</v>
      </c>
      <c r="E22" s="6">
        <v>45673.0</v>
      </c>
      <c r="F22" s="1">
        <v>8.0</v>
      </c>
      <c r="G22" s="7">
        <v>1018.16</v>
      </c>
      <c r="H22" s="7">
        <v>127.27</v>
      </c>
      <c r="I22" s="1">
        <v>544.0</v>
      </c>
      <c r="J22" s="1" t="s">
        <v>17</v>
      </c>
      <c r="K22" s="1">
        <v>0.0</v>
      </c>
    </row>
    <row r="23">
      <c r="A23" s="1" t="s">
        <v>50</v>
      </c>
      <c r="B23" s="1" t="s">
        <v>19</v>
      </c>
      <c r="C23" s="1" t="s">
        <v>13</v>
      </c>
      <c r="D23" s="6">
        <v>45927.0</v>
      </c>
      <c r="E23" s="6">
        <v>46025.0</v>
      </c>
      <c r="F23" s="1">
        <v>7.0</v>
      </c>
      <c r="G23" s="7">
        <v>648.34</v>
      </c>
      <c r="H23" s="7">
        <v>92.62</v>
      </c>
      <c r="I23" s="1">
        <v>192.0</v>
      </c>
      <c r="J23" s="1" t="s">
        <v>17</v>
      </c>
      <c r="K23" s="1">
        <v>0.0</v>
      </c>
    </row>
    <row r="24">
      <c r="A24" s="1" t="s">
        <v>51</v>
      </c>
      <c r="B24" s="1" t="s">
        <v>27</v>
      </c>
      <c r="C24" s="1" t="s">
        <v>13</v>
      </c>
      <c r="D24" s="6">
        <v>45889.0</v>
      </c>
      <c r="E24" s="6">
        <v>46217.0</v>
      </c>
      <c r="F24" s="1">
        <v>7.0</v>
      </c>
      <c r="G24" s="7">
        <v>580.3</v>
      </c>
      <c r="H24" s="7">
        <v>82.9</v>
      </c>
      <c r="I24" s="1">
        <v>0.0</v>
      </c>
      <c r="J24" s="1" t="s">
        <v>14</v>
      </c>
      <c r="K24" s="1">
        <v>0.0</v>
      </c>
    </row>
    <row r="25">
      <c r="A25" s="1" t="s">
        <v>52</v>
      </c>
      <c r="B25" s="1" t="s">
        <v>16</v>
      </c>
      <c r="C25" s="1" t="s">
        <v>13</v>
      </c>
      <c r="D25" s="6">
        <v>45710.0</v>
      </c>
      <c r="E25" s="6">
        <v>45777.0</v>
      </c>
      <c r="F25" s="1">
        <v>7.0</v>
      </c>
      <c r="G25" s="7">
        <v>548.87</v>
      </c>
      <c r="H25" s="7">
        <v>78.41</v>
      </c>
      <c r="I25" s="1">
        <v>440.0</v>
      </c>
      <c r="J25" s="1" t="s">
        <v>14</v>
      </c>
      <c r="K25" s="1">
        <v>0.0</v>
      </c>
    </row>
    <row r="26">
      <c r="A26" s="1" t="s">
        <v>53</v>
      </c>
      <c r="B26" s="1" t="s">
        <v>19</v>
      </c>
      <c r="C26" s="1" t="s">
        <v>13</v>
      </c>
      <c r="D26" s="6">
        <v>45770.0</v>
      </c>
      <c r="E26" s="6">
        <v>45897.0</v>
      </c>
      <c r="F26" s="1">
        <v>5.0</v>
      </c>
      <c r="G26" s="7">
        <v>688.4</v>
      </c>
      <c r="H26" s="7">
        <v>137.68</v>
      </c>
      <c r="I26" s="1">
        <v>320.0</v>
      </c>
      <c r="J26" s="1" t="s">
        <v>17</v>
      </c>
      <c r="K26" s="1">
        <v>0.0</v>
      </c>
    </row>
    <row r="27">
      <c r="A27" s="1" t="s">
        <v>54</v>
      </c>
      <c r="B27" s="1" t="s">
        <v>19</v>
      </c>
      <c r="C27" s="1" t="s">
        <v>13</v>
      </c>
      <c r="D27" s="6">
        <v>45724.0</v>
      </c>
      <c r="E27" s="6">
        <v>45724.0</v>
      </c>
      <c r="F27" s="1">
        <v>1.0</v>
      </c>
      <c r="G27" s="7">
        <v>111.34</v>
      </c>
      <c r="H27" s="7">
        <v>111.34</v>
      </c>
      <c r="I27" s="1">
        <v>493.0</v>
      </c>
      <c r="J27" s="1" t="s">
        <v>17</v>
      </c>
      <c r="K27" s="1">
        <v>0.0</v>
      </c>
    </row>
    <row r="28">
      <c r="A28" s="1" t="s">
        <v>55</v>
      </c>
      <c r="B28" s="1" t="s">
        <v>12</v>
      </c>
      <c r="C28" s="1" t="s">
        <v>13</v>
      </c>
      <c r="D28" s="6">
        <v>45825.0</v>
      </c>
      <c r="E28" s="6">
        <v>46090.0</v>
      </c>
      <c r="F28" s="1">
        <v>4.0</v>
      </c>
      <c r="G28" s="7">
        <v>280.64</v>
      </c>
      <c r="H28" s="7">
        <v>70.16</v>
      </c>
      <c r="I28" s="1">
        <v>127.0</v>
      </c>
      <c r="J28" s="1" t="s">
        <v>14</v>
      </c>
      <c r="K28" s="1">
        <v>0.0</v>
      </c>
    </row>
    <row r="29">
      <c r="A29" s="1" t="s">
        <v>56</v>
      </c>
      <c r="B29" s="1" t="s">
        <v>12</v>
      </c>
      <c r="C29" s="1" t="s">
        <v>13</v>
      </c>
      <c r="D29" s="6">
        <v>46174.0</v>
      </c>
      <c r="E29" s="6">
        <v>46174.0</v>
      </c>
      <c r="F29" s="1">
        <v>1.0</v>
      </c>
      <c r="G29" s="7">
        <v>116.22</v>
      </c>
      <c r="H29" s="7">
        <v>116.22</v>
      </c>
      <c r="I29" s="1">
        <v>43.0</v>
      </c>
      <c r="J29" s="1" t="s">
        <v>17</v>
      </c>
      <c r="K29" s="1">
        <v>0.0</v>
      </c>
    </row>
    <row r="30">
      <c r="A30" s="1" t="s">
        <v>57</v>
      </c>
      <c r="B30" s="1" t="s">
        <v>22</v>
      </c>
      <c r="C30" s="1" t="s">
        <v>58</v>
      </c>
      <c r="D30" s="6">
        <v>45992.0</v>
      </c>
      <c r="E30" s="6">
        <v>45992.0</v>
      </c>
      <c r="F30" s="1">
        <v>1.0</v>
      </c>
      <c r="G30" s="7">
        <v>46.08</v>
      </c>
      <c r="H30" s="7">
        <v>46.08</v>
      </c>
      <c r="I30" s="1">
        <v>225.0</v>
      </c>
      <c r="J30" s="1" t="s">
        <v>14</v>
      </c>
      <c r="K30" s="1">
        <v>2.0</v>
      </c>
    </row>
    <row r="31">
      <c r="A31" s="1" t="s">
        <v>59</v>
      </c>
      <c r="B31" s="1" t="s">
        <v>31</v>
      </c>
      <c r="C31" s="1" t="s">
        <v>58</v>
      </c>
      <c r="D31" s="6">
        <v>46088.0</v>
      </c>
      <c r="E31" s="6">
        <v>46088.0</v>
      </c>
      <c r="F31" s="1">
        <v>1.0</v>
      </c>
      <c r="G31" s="7">
        <v>87.32</v>
      </c>
      <c r="H31" s="7">
        <v>87.32</v>
      </c>
      <c r="I31" s="1">
        <v>129.0</v>
      </c>
      <c r="J31" s="1" t="s">
        <v>14</v>
      </c>
      <c r="K31" s="1">
        <v>2.0</v>
      </c>
    </row>
    <row r="32">
      <c r="A32" s="1" t="s">
        <v>60</v>
      </c>
      <c r="B32" s="1" t="s">
        <v>31</v>
      </c>
      <c r="C32" s="1" t="s">
        <v>58</v>
      </c>
      <c r="D32" s="6">
        <v>45927.0</v>
      </c>
      <c r="E32" s="6">
        <v>45927.0</v>
      </c>
      <c r="F32" s="1">
        <v>1.0</v>
      </c>
      <c r="G32" s="7">
        <v>91.54</v>
      </c>
      <c r="H32" s="7">
        <v>91.54</v>
      </c>
      <c r="I32" s="1">
        <v>290.0</v>
      </c>
      <c r="J32" s="1" t="s">
        <v>17</v>
      </c>
      <c r="K32" s="1">
        <v>2.0</v>
      </c>
    </row>
    <row r="33">
      <c r="A33" s="1" t="s">
        <v>61</v>
      </c>
      <c r="B33" s="1" t="s">
        <v>12</v>
      </c>
      <c r="C33" s="1" t="s">
        <v>58</v>
      </c>
      <c r="D33" s="6">
        <v>45810.0</v>
      </c>
      <c r="E33" s="6">
        <v>45810.0</v>
      </c>
      <c r="F33" s="1">
        <v>1.0</v>
      </c>
      <c r="G33" s="7">
        <v>78.46</v>
      </c>
      <c r="H33" s="7">
        <v>78.46</v>
      </c>
      <c r="I33" s="1">
        <v>407.0</v>
      </c>
      <c r="J33" s="1" t="s">
        <v>17</v>
      </c>
      <c r="K33" s="1">
        <v>1.0</v>
      </c>
    </row>
    <row r="34">
      <c r="A34" s="1" t="s">
        <v>62</v>
      </c>
      <c r="B34" s="1" t="s">
        <v>12</v>
      </c>
      <c r="C34" s="1" t="s">
        <v>58</v>
      </c>
      <c r="D34" s="6">
        <v>45942.0</v>
      </c>
      <c r="E34" s="6">
        <v>45942.0</v>
      </c>
      <c r="F34" s="1">
        <v>1.0</v>
      </c>
      <c r="G34" s="7">
        <v>77.11</v>
      </c>
      <c r="H34" s="7">
        <v>77.11</v>
      </c>
      <c r="I34" s="1">
        <v>275.0</v>
      </c>
      <c r="J34" s="1" t="s">
        <v>17</v>
      </c>
      <c r="K34" s="1">
        <v>1.0</v>
      </c>
    </row>
    <row r="35">
      <c r="A35" s="1" t="s">
        <v>63</v>
      </c>
      <c r="B35" s="1" t="s">
        <v>22</v>
      </c>
      <c r="C35" s="1" t="s">
        <v>58</v>
      </c>
      <c r="D35" s="6">
        <v>45616.0</v>
      </c>
      <c r="E35" s="6">
        <v>45616.0</v>
      </c>
      <c r="F35" s="1">
        <v>1.0</v>
      </c>
      <c r="G35" s="7">
        <v>104.5</v>
      </c>
      <c r="H35" s="7">
        <v>104.5</v>
      </c>
      <c r="I35" s="1">
        <v>601.0</v>
      </c>
      <c r="J35" s="1" t="s">
        <v>17</v>
      </c>
      <c r="K35" s="1">
        <v>1.0</v>
      </c>
    </row>
    <row r="36">
      <c r="A36" s="1" t="s">
        <v>64</v>
      </c>
      <c r="B36" s="1" t="s">
        <v>31</v>
      </c>
      <c r="C36" s="1" t="s">
        <v>58</v>
      </c>
      <c r="D36" s="6">
        <v>45514.0</v>
      </c>
      <c r="E36" s="6">
        <v>45514.0</v>
      </c>
      <c r="F36" s="1">
        <v>1.0</v>
      </c>
      <c r="G36" s="7">
        <v>88.68</v>
      </c>
      <c r="H36" s="7">
        <v>88.68</v>
      </c>
      <c r="I36" s="1">
        <v>703.0</v>
      </c>
      <c r="J36" s="1" t="s">
        <v>14</v>
      </c>
      <c r="K36" s="1">
        <v>1.0</v>
      </c>
    </row>
    <row r="37">
      <c r="A37" s="1" t="s">
        <v>65</v>
      </c>
      <c r="B37" s="1" t="s">
        <v>34</v>
      </c>
      <c r="C37" s="1" t="s">
        <v>58</v>
      </c>
      <c r="D37" s="6">
        <v>45544.0</v>
      </c>
      <c r="E37" s="6">
        <v>45909.0</v>
      </c>
      <c r="F37" s="1">
        <v>7.0</v>
      </c>
      <c r="G37" s="7">
        <v>454.86</v>
      </c>
      <c r="H37" s="7">
        <v>64.98</v>
      </c>
      <c r="I37" s="1">
        <v>308.0</v>
      </c>
      <c r="J37" s="1" t="s">
        <v>17</v>
      </c>
      <c r="K37" s="1">
        <v>1.0</v>
      </c>
    </row>
    <row r="38">
      <c r="A38" s="1" t="s">
        <v>66</v>
      </c>
      <c r="B38" s="1" t="s">
        <v>22</v>
      </c>
      <c r="C38" s="1" t="s">
        <v>58</v>
      </c>
      <c r="D38" s="6">
        <v>46036.0</v>
      </c>
      <c r="E38" s="6">
        <v>46036.0</v>
      </c>
      <c r="F38" s="1">
        <v>1.0</v>
      </c>
      <c r="G38" s="7">
        <v>60.28</v>
      </c>
      <c r="H38" s="7">
        <v>60.28</v>
      </c>
      <c r="I38" s="1">
        <v>181.0</v>
      </c>
      <c r="J38" s="1" t="s">
        <v>14</v>
      </c>
      <c r="K38" s="1">
        <v>1.0</v>
      </c>
    </row>
    <row r="39">
      <c r="A39" s="1" t="s">
        <v>67</v>
      </c>
      <c r="B39" s="1" t="s">
        <v>31</v>
      </c>
      <c r="C39" s="1" t="s">
        <v>58</v>
      </c>
      <c r="D39" s="6">
        <v>45728.0</v>
      </c>
      <c r="E39" s="6">
        <v>45728.0</v>
      </c>
      <c r="F39" s="1">
        <v>1.0</v>
      </c>
      <c r="G39" s="7">
        <v>70.25</v>
      </c>
      <c r="H39" s="7">
        <v>70.25</v>
      </c>
      <c r="I39" s="1">
        <v>489.0</v>
      </c>
      <c r="J39" s="1" t="s">
        <v>14</v>
      </c>
      <c r="K39" s="1">
        <v>1.0</v>
      </c>
    </row>
    <row r="40">
      <c r="A40" s="1" t="s">
        <v>68</v>
      </c>
      <c r="B40" s="1" t="s">
        <v>29</v>
      </c>
      <c r="C40" s="1" t="s">
        <v>58</v>
      </c>
      <c r="D40" s="6">
        <v>45506.0</v>
      </c>
      <c r="E40" s="6">
        <v>45506.0</v>
      </c>
      <c r="F40" s="1">
        <v>1.0</v>
      </c>
      <c r="G40" s="7">
        <v>63.63</v>
      </c>
      <c r="H40" s="7">
        <v>63.63</v>
      </c>
      <c r="I40" s="1">
        <v>711.0</v>
      </c>
      <c r="J40" s="1" t="s">
        <v>17</v>
      </c>
      <c r="K40" s="1">
        <v>1.0</v>
      </c>
    </row>
    <row r="41">
      <c r="A41" s="1" t="s">
        <v>69</v>
      </c>
      <c r="B41" s="1" t="s">
        <v>29</v>
      </c>
      <c r="C41" s="1" t="s">
        <v>58</v>
      </c>
      <c r="D41" s="6">
        <v>45487.0</v>
      </c>
      <c r="E41" s="6">
        <v>45906.0</v>
      </c>
      <c r="F41" s="1">
        <v>7.0</v>
      </c>
      <c r="G41" s="7">
        <v>629.16</v>
      </c>
      <c r="H41" s="7">
        <v>89.88</v>
      </c>
      <c r="I41" s="1">
        <v>311.0</v>
      </c>
      <c r="J41" s="1" t="s">
        <v>14</v>
      </c>
      <c r="K41" s="1">
        <v>1.0</v>
      </c>
    </row>
    <row r="42">
      <c r="A42" s="1" t="s">
        <v>70</v>
      </c>
      <c r="B42" s="1" t="s">
        <v>31</v>
      </c>
      <c r="C42" s="1" t="s">
        <v>58</v>
      </c>
      <c r="D42" s="6">
        <v>46097.0</v>
      </c>
      <c r="E42" s="6">
        <v>46217.0</v>
      </c>
      <c r="F42" s="1">
        <v>3.0</v>
      </c>
      <c r="G42" s="7">
        <v>268.74</v>
      </c>
      <c r="H42" s="7">
        <v>89.58</v>
      </c>
      <c r="I42" s="1">
        <v>0.0</v>
      </c>
      <c r="J42" s="1" t="s">
        <v>17</v>
      </c>
      <c r="K42" s="1">
        <v>1.0</v>
      </c>
    </row>
    <row r="43">
      <c r="A43" s="1" t="s">
        <v>71</v>
      </c>
      <c r="B43" s="1" t="s">
        <v>22</v>
      </c>
      <c r="C43" s="1" t="s">
        <v>58</v>
      </c>
      <c r="D43" s="6">
        <v>45918.0</v>
      </c>
      <c r="E43" s="6">
        <v>45918.0</v>
      </c>
      <c r="F43" s="1">
        <v>1.0</v>
      </c>
      <c r="G43" s="7">
        <v>64.74</v>
      </c>
      <c r="H43" s="7">
        <v>64.74</v>
      </c>
      <c r="I43" s="1">
        <v>299.0</v>
      </c>
      <c r="J43" s="1" t="s">
        <v>17</v>
      </c>
      <c r="K43" s="1">
        <v>1.0</v>
      </c>
    </row>
    <row r="44">
      <c r="A44" s="1" t="s">
        <v>72</v>
      </c>
      <c r="B44" s="1" t="s">
        <v>24</v>
      </c>
      <c r="C44" s="1" t="s">
        <v>58</v>
      </c>
      <c r="D44" s="6">
        <v>45763.0</v>
      </c>
      <c r="E44" s="6">
        <v>45763.0</v>
      </c>
      <c r="F44" s="1">
        <v>1.0</v>
      </c>
      <c r="G44" s="7">
        <v>59.53</v>
      </c>
      <c r="H44" s="7">
        <v>59.53</v>
      </c>
      <c r="I44" s="1">
        <v>454.0</v>
      </c>
      <c r="J44" s="1" t="s">
        <v>14</v>
      </c>
      <c r="K44" s="1">
        <v>1.0</v>
      </c>
    </row>
    <row r="45">
      <c r="A45" s="1" t="s">
        <v>73</v>
      </c>
      <c r="B45" s="1" t="s">
        <v>36</v>
      </c>
      <c r="C45" s="1" t="s">
        <v>58</v>
      </c>
      <c r="D45" s="6">
        <v>45482.0</v>
      </c>
      <c r="E45" s="6">
        <v>45482.0</v>
      </c>
      <c r="F45" s="1">
        <v>1.0</v>
      </c>
      <c r="G45" s="7">
        <v>90.54</v>
      </c>
      <c r="H45" s="7">
        <v>90.54</v>
      </c>
      <c r="I45" s="1">
        <v>735.0</v>
      </c>
      <c r="J45" s="1" t="s">
        <v>14</v>
      </c>
      <c r="K45" s="1">
        <v>1.0</v>
      </c>
    </row>
    <row r="46">
      <c r="A46" s="1" t="s">
        <v>74</v>
      </c>
      <c r="B46" s="1" t="s">
        <v>75</v>
      </c>
      <c r="C46" s="1" t="s">
        <v>58</v>
      </c>
      <c r="D46" s="6">
        <v>45789.0</v>
      </c>
      <c r="E46" s="6">
        <v>45789.0</v>
      </c>
      <c r="F46" s="1">
        <v>1.0</v>
      </c>
      <c r="G46" s="7">
        <v>99.8</v>
      </c>
      <c r="H46" s="7">
        <v>99.8</v>
      </c>
      <c r="I46" s="1">
        <v>428.0</v>
      </c>
      <c r="J46" s="1" t="s">
        <v>14</v>
      </c>
      <c r="K46" s="1">
        <v>1.0</v>
      </c>
    </row>
    <row r="47">
      <c r="A47" s="1" t="s">
        <v>76</v>
      </c>
      <c r="B47" s="1" t="s">
        <v>34</v>
      </c>
      <c r="C47" s="1" t="s">
        <v>58</v>
      </c>
      <c r="D47" s="6">
        <v>45947.0</v>
      </c>
      <c r="E47" s="6">
        <v>45947.0</v>
      </c>
      <c r="F47" s="1">
        <v>1.0</v>
      </c>
      <c r="G47" s="7">
        <v>117.64</v>
      </c>
      <c r="H47" s="7">
        <v>117.64</v>
      </c>
      <c r="I47" s="1">
        <v>270.0</v>
      </c>
      <c r="J47" s="1" t="s">
        <v>17</v>
      </c>
      <c r="K47" s="1">
        <v>1.0</v>
      </c>
    </row>
    <row r="48">
      <c r="A48" s="1" t="s">
        <v>77</v>
      </c>
      <c r="B48" s="1" t="s">
        <v>24</v>
      </c>
      <c r="C48" s="1" t="s">
        <v>58</v>
      </c>
      <c r="D48" s="6">
        <v>45515.0</v>
      </c>
      <c r="E48" s="6">
        <v>45515.0</v>
      </c>
      <c r="F48" s="1">
        <v>1.0</v>
      </c>
      <c r="G48" s="7">
        <v>91.29</v>
      </c>
      <c r="H48" s="7">
        <v>91.29</v>
      </c>
      <c r="I48" s="1">
        <v>702.0</v>
      </c>
      <c r="J48" s="1" t="s">
        <v>17</v>
      </c>
      <c r="K48" s="1">
        <v>1.0</v>
      </c>
    </row>
    <row r="49">
      <c r="A49" s="1" t="s">
        <v>78</v>
      </c>
      <c r="B49" s="1" t="s">
        <v>29</v>
      </c>
      <c r="C49" s="1" t="s">
        <v>58</v>
      </c>
      <c r="D49" s="6">
        <v>45594.0</v>
      </c>
      <c r="E49" s="6">
        <v>45594.0</v>
      </c>
      <c r="F49" s="1">
        <v>1.0</v>
      </c>
      <c r="G49" s="7">
        <v>63.75</v>
      </c>
      <c r="H49" s="7">
        <v>63.75</v>
      </c>
      <c r="I49" s="1">
        <v>623.0</v>
      </c>
      <c r="J49" s="1" t="s">
        <v>14</v>
      </c>
      <c r="K49" s="1">
        <v>1.0</v>
      </c>
    </row>
    <row r="50">
      <c r="A50" s="1" t="s">
        <v>79</v>
      </c>
      <c r="B50" s="1" t="s">
        <v>34</v>
      </c>
      <c r="C50" s="1" t="s">
        <v>58</v>
      </c>
      <c r="D50" s="6">
        <v>45581.0</v>
      </c>
      <c r="E50" s="6">
        <v>45581.0</v>
      </c>
      <c r="F50" s="1">
        <v>1.0</v>
      </c>
      <c r="G50" s="7">
        <v>101.76</v>
      </c>
      <c r="H50" s="7">
        <v>101.76</v>
      </c>
      <c r="I50" s="1">
        <v>636.0</v>
      </c>
      <c r="J50" s="1" t="s">
        <v>17</v>
      </c>
      <c r="K50" s="1">
        <v>0.0</v>
      </c>
    </row>
    <row r="51">
      <c r="A51" s="1" t="s">
        <v>80</v>
      </c>
      <c r="B51" s="1" t="s">
        <v>29</v>
      </c>
      <c r="C51" s="1" t="s">
        <v>58</v>
      </c>
      <c r="D51" s="6">
        <v>45947.0</v>
      </c>
      <c r="E51" s="6">
        <v>45947.0</v>
      </c>
      <c r="F51" s="1">
        <v>1.0</v>
      </c>
      <c r="G51" s="7">
        <v>96.26</v>
      </c>
      <c r="H51" s="7">
        <v>96.26</v>
      </c>
      <c r="I51" s="1">
        <v>270.0</v>
      </c>
      <c r="J51" s="1" t="s">
        <v>17</v>
      </c>
      <c r="K51" s="1">
        <v>0.0</v>
      </c>
    </row>
    <row r="52">
      <c r="A52" s="1" t="s">
        <v>81</v>
      </c>
      <c r="B52" s="1" t="s">
        <v>22</v>
      </c>
      <c r="C52" s="1" t="s">
        <v>58</v>
      </c>
      <c r="D52" s="6">
        <v>45537.0</v>
      </c>
      <c r="E52" s="6">
        <v>45537.0</v>
      </c>
      <c r="F52" s="1">
        <v>1.0</v>
      </c>
      <c r="G52" s="7">
        <v>93.28</v>
      </c>
      <c r="H52" s="7">
        <v>93.28</v>
      </c>
      <c r="I52" s="1">
        <v>680.0</v>
      </c>
      <c r="J52" s="1" t="s">
        <v>17</v>
      </c>
      <c r="K52" s="1">
        <v>0.0</v>
      </c>
    </row>
    <row r="53">
      <c r="A53" s="1" t="s">
        <v>82</v>
      </c>
      <c r="B53" s="1" t="s">
        <v>29</v>
      </c>
      <c r="C53" s="1" t="s">
        <v>58</v>
      </c>
      <c r="D53" s="6">
        <v>45510.0</v>
      </c>
      <c r="E53" s="6">
        <v>45510.0</v>
      </c>
      <c r="F53" s="1">
        <v>1.0</v>
      </c>
      <c r="G53" s="7">
        <v>43.86</v>
      </c>
      <c r="H53" s="7">
        <v>43.86</v>
      </c>
      <c r="I53" s="1">
        <v>707.0</v>
      </c>
      <c r="J53" s="1" t="s">
        <v>17</v>
      </c>
      <c r="K53" s="1">
        <v>0.0</v>
      </c>
    </row>
    <row r="54">
      <c r="A54" s="1" t="s">
        <v>83</v>
      </c>
      <c r="B54" s="1" t="s">
        <v>12</v>
      </c>
      <c r="C54" s="1" t="s">
        <v>58</v>
      </c>
      <c r="D54" s="6">
        <v>45763.0</v>
      </c>
      <c r="E54" s="6">
        <v>45763.0</v>
      </c>
      <c r="F54" s="1">
        <v>1.0</v>
      </c>
      <c r="G54" s="7">
        <v>81.08</v>
      </c>
      <c r="H54" s="7">
        <v>81.08</v>
      </c>
      <c r="I54" s="1">
        <v>454.0</v>
      </c>
      <c r="J54" s="1" t="s">
        <v>17</v>
      </c>
      <c r="K54" s="1">
        <v>0.0</v>
      </c>
    </row>
    <row r="55">
      <c r="A55" s="1" t="s">
        <v>84</v>
      </c>
      <c r="B55" s="1" t="s">
        <v>75</v>
      </c>
      <c r="C55" s="1" t="s">
        <v>58</v>
      </c>
      <c r="D55" s="6">
        <v>45523.0</v>
      </c>
      <c r="E55" s="6">
        <v>45523.0</v>
      </c>
      <c r="F55" s="1">
        <v>1.0</v>
      </c>
      <c r="G55" s="7">
        <v>112.26</v>
      </c>
      <c r="H55" s="7">
        <v>112.26</v>
      </c>
      <c r="I55" s="1">
        <v>694.0</v>
      </c>
      <c r="J55" s="1" t="s">
        <v>17</v>
      </c>
      <c r="K55" s="1">
        <v>0.0</v>
      </c>
    </row>
    <row r="56">
      <c r="A56" s="1" t="s">
        <v>85</v>
      </c>
      <c r="B56" s="1" t="s">
        <v>22</v>
      </c>
      <c r="C56" s="1" t="s">
        <v>58</v>
      </c>
      <c r="D56" s="6">
        <v>45845.0</v>
      </c>
      <c r="E56" s="6">
        <v>45845.0</v>
      </c>
      <c r="F56" s="1">
        <v>1.0</v>
      </c>
      <c r="G56" s="7">
        <v>69.82</v>
      </c>
      <c r="H56" s="7">
        <v>69.82</v>
      </c>
      <c r="I56" s="1">
        <v>372.0</v>
      </c>
      <c r="J56" s="1" t="s">
        <v>14</v>
      </c>
      <c r="K56" s="1">
        <v>0.0</v>
      </c>
    </row>
    <row r="57">
      <c r="A57" s="1" t="s">
        <v>86</v>
      </c>
      <c r="B57" s="1" t="s">
        <v>75</v>
      </c>
      <c r="C57" s="1" t="s">
        <v>58</v>
      </c>
      <c r="D57" s="6">
        <v>45595.0</v>
      </c>
      <c r="E57" s="6">
        <v>45595.0</v>
      </c>
      <c r="F57" s="1">
        <v>1.0</v>
      </c>
      <c r="G57" s="7">
        <v>41.88</v>
      </c>
      <c r="H57" s="7">
        <v>41.88</v>
      </c>
      <c r="I57" s="1">
        <v>622.0</v>
      </c>
      <c r="J57" s="1" t="s">
        <v>17</v>
      </c>
      <c r="K57" s="1">
        <v>0.0</v>
      </c>
    </row>
    <row r="58">
      <c r="A58" s="1" t="s">
        <v>87</v>
      </c>
      <c r="B58" s="1" t="s">
        <v>34</v>
      </c>
      <c r="C58" s="1" t="s">
        <v>58</v>
      </c>
      <c r="D58" s="6">
        <v>45604.0</v>
      </c>
      <c r="E58" s="6">
        <v>45604.0</v>
      </c>
      <c r="F58" s="1">
        <v>1.0</v>
      </c>
      <c r="G58" s="7">
        <v>72.16</v>
      </c>
      <c r="H58" s="7">
        <v>72.16</v>
      </c>
      <c r="I58" s="1">
        <v>613.0</v>
      </c>
      <c r="J58" s="1" t="s">
        <v>14</v>
      </c>
      <c r="K58" s="1">
        <v>0.0</v>
      </c>
    </row>
    <row r="59">
      <c r="A59" s="1" t="s">
        <v>88</v>
      </c>
      <c r="B59" s="1" t="s">
        <v>16</v>
      </c>
      <c r="C59" s="1" t="s">
        <v>58</v>
      </c>
      <c r="D59" s="6">
        <v>46042.0</v>
      </c>
      <c r="E59" s="6">
        <v>46188.0</v>
      </c>
      <c r="F59" s="1">
        <v>4.0</v>
      </c>
      <c r="G59" s="7">
        <v>272.32</v>
      </c>
      <c r="H59" s="7">
        <v>68.08</v>
      </c>
      <c r="I59" s="1">
        <v>29.0</v>
      </c>
      <c r="J59" s="1" t="s">
        <v>17</v>
      </c>
      <c r="K59" s="1">
        <v>0.0</v>
      </c>
    </row>
    <row r="60">
      <c r="A60" s="1" t="s">
        <v>89</v>
      </c>
      <c r="B60" s="1" t="s">
        <v>34</v>
      </c>
      <c r="C60" s="1" t="s">
        <v>58</v>
      </c>
      <c r="D60" s="6">
        <v>46041.0</v>
      </c>
      <c r="E60" s="6">
        <v>46041.0</v>
      </c>
      <c r="F60" s="1">
        <v>1.0</v>
      </c>
      <c r="G60" s="7">
        <v>92.35</v>
      </c>
      <c r="H60" s="7">
        <v>92.35</v>
      </c>
      <c r="I60" s="1">
        <v>176.0</v>
      </c>
      <c r="J60" s="1" t="s">
        <v>14</v>
      </c>
      <c r="K60" s="1">
        <v>0.0</v>
      </c>
    </row>
    <row r="61">
      <c r="A61" s="1" t="s">
        <v>90</v>
      </c>
      <c r="B61" s="1" t="s">
        <v>27</v>
      </c>
      <c r="C61" s="1" t="s">
        <v>58</v>
      </c>
      <c r="D61" s="6">
        <v>45768.0</v>
      </c>
      <c r="E61" s="6">
        <v>45768.0</v>
      </c>
      <c r="F61" s="1">
        <v>1.0</v>
      </c>
      <c r="G61" s="7">
        <v>65.88</v>
      </c>
      <c r="H61" s="7">
        <v>65.88</v>
      </c>
      <c r="I61" s="1">
        <v>449.0</v>
      </c>
      <c r="J61" s="1" t="s">
        <v>17</v>
      </c>
      <c r="K61" s="1">
        <v>0.0</v>
      </c>
    </row>
    <row r="62">
      <c r="A62" s="1" t="s">
        <v>91</v>
      </c>
      <c r="B62" s="1" t="s">
        <v>27</v>
      </c>
      <c r="C62" s="1" t="s">
        <v>58</v>
      </c>
      <c r="D62" s="6">
        <v>46008.0</v>
      </c>
      <c r="E62" s="6">
        <v>46008.0</v>
      </c>
      <c r="F62" s="1">
        <v>1.0</v>
      </c>
      <c r="G62" s="7">
        <v>88.51</v>
      </c>
      <c r="H62" s="7">
        <v>88.51</v>
      </c>
      <c r="I62" s="1">
        <v>209.0</v>
      </c>
      <c r="J62" s="1" t="s">
        <v>17</v>
      </c>
      <c r="K62" s="1">
        <v>0.0</v>
      </c>
    </row>
    <row r="63">
      <c r="A63" s="1" t="s">
        <v>92</v>
      </c>
      <c r="B63" s="1" t="s">
        <v>31</v>
      </c>
      <c r="C63" s="1" t="s">
        <v>58</v>
      </c>
      <c r="D63" s="6">
        <v>46039.0</v>
      </c>
      <c r="E63" s="6">
        <v>46039.0</v>
      </c>
      <c r="F63" s="1">
        <v>1.0</v>
      </c>
      <c r="G63" s="7">
        <v>74.92</v>
      </c>
      <c r="H63" s="7">
        <v>74.92</v>
      </c>
      <c r="I63" s="1">
        <v>178.0</v>
      </c>
      <c r="J63" s="1" t="s">
        <v>17</v>
      </c>
      <c r="K63" s="1">
        <v>0.0</v>
      </c>
    </row>
    <row r="64">
      <c r="A64" s="1" t="s">
        <v>93</v>
      </c>
      <c r="B64" s="1" t="s">
        <v>12</v>
      </c>
      <c r="C64" s="1" t="s">
        <v>58</v>
      </c>
      <c r="D64" s="6">
        <v>46094.0</v>
      </c>
      <c r="E64" s="6">
        <v>46094.0</v>
      </c>
      <c r="F64" s="1">
        <v>1.0</v>
      </c>
      <c r="G64" s="7">
        <v>71.87</v>
      </c>
      <c r="H64" s="7">
        <v>71.87</v>
      </c>
      <c r="I64" s="1">
        <v>123.0</v>
      </c>
      <c r="J64" s="1" t="s">
        <v>17</v>
      </c>
      <c r="K64" s="1">
        <v>0.0</v>
      </c>
    </row>
    <row r="65">
      <c r="A65" s="1" t="s">
        <v>94</v>
      </c>
      <c r="B65" s="1" t="s">
        <v>12</v>
      </c>
      <c r="C65" s="1" t="s">
        <v>58</v>
      </c>
      <c r="D65" s="6">
        <v>45930.0</v>
      </c>
      <c r="E65" s="6">
        <v>45994.0</v>
      </c>
      <c r="F65" s="1">
        <v>7.0</v>
      </c>
      <c r="G65" s="7">
        <v>771.19</v>
      </c>
      <c r="H65" s="7">
        <v>110.17</v>
      </c>
      <c r="I65" s="1">
        <v>223.0</v>
      </c>
      <c r="J65" s="1" t="s">
        <v>17</v>
      </c>
      <c r="K65" s="1">
        <v>0.0</v>
      </c>
    </row>
    <row r="66">
      <c r="A66" s="1" t="s">
        <v>95</v>
      </c>
      <c r="B66" s="1" t="s">
        <v>96</v>
      </c>
      <c r="C66" s="1" t="s">
        <v>58</v>
      </c>
      <c r="D66" s="6">
        <v>46069.0</v>
      </c>
      <c r="E66" s="6">
        <v>46069.0</v>
      </c>
      <c r="F66" s="1">
        <v>1.0</v>
      </c>
      <c r="G66" s="7">
        <v>97.2</v>
      </c>
      <c r="H66" s="7">
        <v>97.2</v>
      </c>
      <c r="I66" s="1">
        <v>148.0</v>
      </c>
      <c r="J66" s="1" t="s">
        <v>14</v>
      </c>
      <c r="K66" s="1">
        <v>0.0</v>
      </c>
    </row>
    <row r="67">
      <c r="A67" s="1" t="s">
        <v>97</v>
      </c>
      <c r="B67" s="1" t="s">
        <v>24</v>
      </c>
      <c r="C67" s="1" t="s">
        <v>58</v>
      </c>
      <c r="D67" s="6">
        <v>45733.0</v>
      </c>
      <c r="E67" s="6">
        <v>45733.0</v>
      </c>
      <c r="F67" s="1">
        <v>1.0</v>
      </c>
      <c r="G67" s="7">
        <v>99.21</v>
      </c>
      <c r="H67" s="7">
        <v>99.21</v>
      </c>
      <c r="I67" s="1">
        <v>484.0</v>
      </c>
      <c r="J67" s="1" t="s">
        <v>17</v>
      </c>
      <c r="K67" s="1">
        <v>0.0</v>
      </c>
    </row>
    <row r="68">
      <c r="A68" s="1" t="s">
        <v>98</v>
      </c>
      <c r="B68" s="1" t="s">
        <v>19</v>
      </c>
      <c r="C68" s="1" t="s">
        <v>58</v>
      </c>
      <c r="D68" s="6">
        <v>45596.0</v>
      </c>
      <c r="E68" s="6">
        <v>45596.0</v>
      </c>
      <c r="F68" s="1">
        <v>1.0</v>
      </c>
      <c r="G68" s="7">
        <v>74.28</v>
      </c>
      <c r="H68" s="7">
        <v>74.28</v>
      </c>
      <c r="I68" s="1">
        <v>621.0</v>
      </c>
      <c r="J68" s="1" t="s">
        <v>14</v>
      </c>
      <c r="K68" s="1">
        <v>0.0</v>
      </c>
    </row>
    <row r="69">
      <c r="A69" s="1" t="s">
        <v>99</v>
      </c>
      <c r="B69" s="1" t="s">
        <v>34</v>
      </c>
      <c r="C69" s="1" t="s">
        <v>58</v>
      </c>
      <c r="D69" s="6">
        <v>45866.0</v>
      </c>
      <c r="E69" s="6">
        <v>45866.0</v>
      </c>
      <c r="F69" s="1">
        <v>1.0</v>
      </c>
      <c r="G69" s="7">
        <v>81.39</v>
      </c>
      <c r="H69" s="7">
        <v>81.39</v>
      </c>
      <c r="I69" s="1">
        <v>351.0</v>
      </c>
      <c r="J69" s="1" t="s">
        <v>17</v>
      </c>
      <c r="K69" s="1">
        <v>0.0</v>
      </c>
    </row>
    <row r="70">
      <c r="A70" s="1" t="s">
        <v>100</v>
      </c>
      <c r="B70" s="1" t="s">
        <v>12</v>
      </c>
      <c r="C70" s="1" t="s">
        <v>58</v>
      </c>
      <c r="D70" s="6">
        <v>46150.0</v>
      </c>
      <c r="E70" s="6">
        <v>46150.0</v>
      </c>
      <c r="F70" s="1">
        <v>1.0</v>
      </c>
      <c r="G70" s="7">
        <v>55.91</v>
      </c>
      <c r="H70" s="7">
        <v>55.91</v>
      </c>
      <c r="I70" s="1">
        <v>67.0</v>
      </c>
      <c r="J70" s="1" t="s">
        <v>17</v>
      </c>
      <c r="K70" s="1">
        <v>0.0</v>
      </c>
    </row>
    <row r="71">
      <c r="A71" s="1" t="s">
        <v>101</v>
      </c>
      <c r="B71" s="1" t="s">
        <v>27</v>
      </c>
      <c r="C71" s="1" t="s">
        <v>58</v>
      </c>
      <c r="D71" s="6">
        <v>45656.0</v>
      </c>
      <c r="E71" s="6">
        <v>45656.0</v>
      </c>
      <c r="F71" s="1">
        <v>1.0</v>
      </c>
      <c r="G71" s="7">
        <v>123.83</v>
      </c>
      <c r="H71" s="7">
        <v>123.83</v>
      </c>
      <c r="I71" s="1">
        <v>561.0</v>
      </c>
      <c r="J71" s="1" t="s">
        <v>17</v>
      </c>
      <c r="K71" s="1">
        <v>0.0</v>
      </c>
    </row>
    <row r="72">
      <c r="A72" s="1" t="s">
        <v>102</v>
      </c>
      <c r="B72" s="1" t="s">
        <v>75</v>
      </c>
      <c r="C72" s="1" t="s">
        <v>58</v>
      </c>
      <c r="D72" s="6">
        <v>45556.0</v>
      </c>
      <c r="E72" s="6">
        <v>45556.0</v>
      </c>
      <c r="F72" s="1">
        <v>1.0</v>
      </c>
      <c r="G72" s="7">
        <v>94.57</v>
      </c>
      <c r="H72" s="7">
        <v>94.57</v>
      </c>
      <c r="I72" s="1">
        <v>661.0</v>
      </c>
      <c r="J72" s="1" t="s">
        <v>14</v>
      </c>
      <c r="K72" s="1">
        <v>0.0</v>
      </c>
    </row>
    <row r="73">
      <c r="A73" s="1" t="s">
        <v>103</v>
      </c>
      <c r="B73" s="1" t="s">
        <v>22</v>
      </c>
      <c r="C73" s="1" t="s">
        <v>58</v>
      </c>
      <c r="D73" s="6">
        <v>45515.0</v>
      </c>
      <c r="E73" s="6">
        <v>45515.0</v>
      </c>
      <c r="F73" s="1">
        <v>1.0</v>
      </c>
      <c r="G73" s="7">
        <v>67.08</v>
      </c>
      <c r="H73" s="7">
        <v>67.08</v>
      </c>
      <c r="I73" s="1">
        <v>702.0</v>
      </c>
      <c r="J73" s="1" t="s">
        <v>17</v>
      </c>
      <c r="K73" s="1">
        <v>0.0</v>
      </c>
    </row>
    <row r="74">
      <c r="A74" s="1" t="s">
        <v>104</v>
      </c>
      <c r="B74" s="1" t="s">
        <v>16</v>
      </c>
      <c r="C74" s="1" t="s">
        <v>58</v>
      </c>
      <c r="D74" s="6">
        <v>46156.0</v>
      </c>
      <c r="E74" s="6">
        <v>46156.0</v>
      </c>
      <c r="F74" s="1">
        <v>1.0</v>
      </c>
      <c r="G74" s="7">
        <v>98.48</v>
      </c>
      <c r="H74" s="7">
        <v>98.48</v>
      </c>
      <c r="I74" s="1">
        <v>61.0</v>
      </c>
      <c r="J74" s="1" t="s">
        <v>17</v>
      </c>
      <c r="K74" s="1">
        <v>0.0</v>
      </c>
    </row>
    <row r="75">
      <c r="A75" s="1" t="s">
        <v>105</v>
      </c>
      <c r="B75" s="1" t="s">
        <v>34</v>
      </c>
      <c r="C75" s="1" t="s">
        <v>106</v>
      </c>
      <c r="D75" s="6">
        <v>45938.0</v>
      </c>
      <c r="E75" s="6">
        <v>45938.0</v>
      </c>
      <c r="F75" s="1">
        <v>1.0</v>
      </c>
      <c r="G75" s="7">
        <v>161.64</v>
      </c>
      <c r="H75" s="7">
        <v>161.64</v>
      </c>
      <c r="I75" s="1">
        <v>279.0</v>
      </c>
      <c r="J75" s="1" t="s">
        <v>17</v>
      </c>
      <c r="K75" s="1">
        <v>2.0</v>
      </c>
    </row>
    <row r="76">
      <c r="A76" s="1" t="s">
        <v>107</v>
      </c>
      <c r="B76" s="1" t="s">
        <v>36</v>
      </c>
      <c r="C76" s="1" t="s">
        <v>106</v>
      </c>
      <c r="D76" s="6">
        <v>46028.0</v>
      </c>
      <c r="E76" s="6">
        <v>46217.0</v>
      </c>
      <c r="F76" s="1">
        <v>5.0</v>
      </c>
      <c r="G76" s="7">
        <v>416.45</v>
      </c>
      <c r="H76" s="7">
        <v>83.29</v>
      </c>
      <c r="I76" s="1">
        <v>0.0</v>
      </c>
      <c r="J76" s="1" t="s">
        <v>14</v>
      </c>
      <c r="K76" s="1">
        <v>2.0</v>
      </c>
    </row>
    <row r="77">
      <c r="A77" s="1" t="s">
        <v>108</v>
      </c>
      <c r="B77" s="1" t="s">
        <v>22</v>
      </c>
      <c r="C77" s="1" t="s">
        <v>106</v>
      </c>
      <c r="D77" s="6">
        <v>45702.0</v>
      </c>
      <c r="E77" s="6">
        <v>45919.0</v>
      </c>
      <c r="F77" s="1">
        <v>2.0</v>
      </c>
      <c r="G77" s="7">
        <v>97.46</v>
      </c>
      <c r="H77" s="7">
        <v>48.73</v>
      </c>
      <c r="I77" s="1">
        <v>298.0</v>
      </c>
      <c r="J77" s="1" t="s">
        <v>17</v>
      </c>
      <c r="K77" s="1">
        <v>2.0</v>
      </c>
    </row>
    <row r="78">
      <c r="A78" s="1" t="s">
        <v>109</v>
      </c>
      <c r="B78" s="1" t="s">
        <v>12</v>
      </c>
      <c r="C78" s="1" t="s">
        <v>106</v>
      </c>
      <c r="D78" s="6">
        <v>45717.0</v>
      </c>
      <c r="E78" s="6">
        <v>45717.0</v>
      </c>
      <c r="F78" s="1">
        <v>1.0</v>
      </c>
      <c r="G78" s="7">
        <v>96.45</v>
      </c>
      <c r="H78" s="7">
        <v>96.45</v>
      </c>
      <c r="I78" s="1">
        <v>500.0</v>
      </c>
      <c r="J78" s="1" t="s">
        <v>17</v>
      </c>
      <c r="K78" s="1">
        <v>2.0</v>
      </c>
    </row>
    <row r="79">
      <c r="A79" s="1" t="s">
        <v>110</v>
      </c>
      <c r="B79" s="1" t="s">
        <v>24</v>
      </c>
      <c r="C79" s="1" t="s">
        <v>106</v>
      </c>
      <c r="D79" s="6">
        <v>45810.0</v>
      </c>
      <c r="E79" s="6">
        <v>45810.0</v>
      </c>
      <c r="F79" s="1">
        <v>1.0</v>
      </c>
      <c r="G79" s="7">
        <v>89.03</v>
      </c>
      <c r="H79" s="7">
        <v>89.03</v>
      </c>
      <c r="I79" s="1">
        <v>407.0</v>
      </c>
      <c r="J79" s="1" t="s">
        <v>17</v>
      </c>
      <c r="K79" s="1">
        <v>2.0</v>
      </c>
    </row>
    <row r="80">
      <c r="A80" s="1" t="s">
        <v>111</v>
      </c>
      <c r="B80" s="1" t="s">
        <v>22</v>
      </c>
      <c r="C80" s="1" t="s">
        <v>106</v>
      </c>
      <c r="D80" s="6">
        <v>45609.0</v>
      </c>
      <c r="E80" s="6">
        <v>45609.0</v>
      </c>
      <c r="F80" s="1">
        <v>1.0</v>
      </c>
      <c r="G80" s="7">
        <v>142.59</v>
      </c>
      <c r="H80" s="7">
        <v>142.59</v>
      </c>
      <c r="I80" s="1">
        <v>608.0</v>
      </c>
      <c r="J80" s="1" t="s">
        <v>17</v>
      </c>
      <c r="K80" s="1">
        <v>2.0</v>
      </c>
    </row>
    <row r="81">
      <c r="A81" s="1" t="s">
        <v>112</v>
      </c>
      <c r="B81" s="1" t="s">
        <v>96</v>
      </c>
      <c r="C81" s="1" t="s">
        <v>106</v>
      </c>
      <c r="D81" s="6">
        <v>46058.0</v>
      </c>
      <c r="E81" s="6">
        <v>46058.0</v>
      </c>
      <c r="F81" s="1">
        <v>1.0</v>
      </c>
      <c r="G81" s="7">
        <v>130.84</v>
      </c>
      <c r="H81" s="7">
        <v>130.84</v>
      </c>
      <c r="I81" s="1">
        <v>159.0</v>
      </c>
      <c r="J81" s="1" t="s">
        <v>17</v>
      </c>
      <c r="K81" s="1">
        <v>2.0</v>
      </c>
    </row>
    <row r="82">
      <c r="A82" s="1" t="s">
        <v>113</v>
      </c>
      <c r="B82" s="1" t="s">
        <v>75</v>
      </c>
      <c r="C82" s="1" t="s">
        <v>106</v>
      </c>
      <c r="D82" s="6">
        <v>45515.0</v>
      </c>
      <c r="E82" s="6">
        <v>45515.0</v>
      </c>
      <c r="F82" s="1">
        <v>1.0</v>
      </c>
      <c r="G82" s="7">
        <v>91.72</v>
      </c>
      <c r="H82" s="7">
        <v>91.72</v>
      </c>
      <c r="I82" s="1">
        <v>702.0</v>
      </c>
      <c r="J82" s="1" t="s">
        <v>14</v>
      </c>
      <c r="K82" s="1">
        <v>2.0</v>
      </c>
    </row>
    <row r="83">
      <c r="A83" s="1" t="s">
        <v>114</v>
      </c>
      <c r="B83" s="1" t="s">
        <v>31</v>
      </c>
      <c r="C83" s="1" t="s">
        <v>106</v>
      </c>
      <c r="D83" s="6">
        <v>45779.0</v>
      </c>
      <c r="E83" s="6">
        <v>45779.0</v>
      </c>
      <c r="F83" s="1">
        <v>1.0</v>
      </c>
      <c r="G83" s="7">
        <v>71.53</v>
      </c>
      <c r="H83" s="7">
        <v>71.53</v>
      </c>
      <c r="I83" s="1">
        <v>438.0</v>
      </c>
      <c r="J83" s="1" t="s">
        <v>17</v>
      </c>
      <c r="K83" s="1">
        <v>2.0</v>
      </c>
    </row>
    <row r="84">
      <c r="A84" s="1" t="s">
        <v>115</v>
      </c>
      <c r="B84" s="1" t="s">
        <v>24</v>
      </c>
      <c r="C84" s="1" t="s">
        <v>106</v>
      </c>
      <c r="D84" s="6">
        <v>45807.0</v>
      </c>
      <c r="E84" s="6">
        <v>45858.0</v>
      </c>
      <c r="F84" s="1">
        <v>2.0</v>
      </c>
      <c r="G84" s="7">
        <v>150.26</v>
      </c>
      <c r="H84" s="7">
        <v>75.13</v>
      </c>
      <c r="I84" s="1">
        <v>359.0</v>
      </c>
      <c r="J84" s="1" t="s">
        <v>14</v>
      </c>
      <c r="K84" s="1">
        <v>1.0</v>
      </c>
    </row>
    <row r="85">
      <c r="A85" s="1" t="s">
        <v>116</v>
      </c>
      <c r="B85" s="1" t="s">
        <v>19</v>
      </c>
      <c r="C85" s="1" t="s">
        <v>106</v>
      </c>
      <c r="D85" s="6">
        <v>45679.0</v>
      </c>
      <c r="E85" s="6">
        <v>45679.0</v>
      </c>
      <c r="F85" s="1">
        <v>1.0</v>
      </c>
      <c r="G85" s="7">
        <v>126.05</v>
      </c>
      <c r="H85" s="7">
        <v>126.05</v>
      </c>
      <c r="I85" s="1">
        <v>538.0</v>
      </c>
      <c r="J85" s="1" t="s">
        <v>17</v>
      </c>
      <c r="K85" s="1">
        <v>1.0</v>
      </c>
    </row>
    <row r="86">
      <c r="A86" s="1" t="s">
        <v>117</v>
      </c>
      <c r="B86" s="1" t="s">
        <v>16</v>
      </c>
      <c r="C86" s="1" t="s">
        <v>106</v>
      </c>
      <c r="D86" s="6">
        <v>45637.0</v>
      </c>
      <c r="E86" s="6">
        <v>45637.0</v>
      </c>
      <c r="F86" s="1">
        <v>1.0</v>
      </c>
      <c r="G86" s="7">
        <v>86.47</v>
      </c>
      <c r="H86" s="7">
        <v>86.47</v>
      </c>
      <c r="I86" s="1">
        <v>580.0</v>
      </c>
      <c r="J86" s="1" t="s">
        <v>17</v>
      </c>
      <c r="K86" s="1">
        <v>1.0</v>
      </c>
    </row>
    <row r="87">
      <c r="A87" s="1" t="s">
        <v>118</v>
      </c>
      <c r="B87" s="1" t="s">
        <v>31</v>
      </c>
      <c r="C87" s="1" t="s">
        <v>106</v>
      </c>
      <c r="D87" s="6">
        <v>45774.0</v>
      </c>
      <c r="E87" s="6">
        <v>45774.0</v>
      </c>
      <c r="F87" s="1">
        <v>1.0</v>
      </c>
      <c r="G87" s="7">
        <v>61.21</v>
      </c>
      <c r="H87" s="7">
        <v>61.21</v>
      </c>
      <c r="I87" s="1">
        <v>443.0</v>
      </c>
      <c r="J87" s="1" t="s">
        <v>17</v>
      </c>
      <c r="K87" s="1">
        <v>1.0</v>
      </c>
    </row>
    <row r="88">
      <c r="A88" s="1" t="s">
        <v>119</v>
      </c>
      <c r="B88" s="1" t="s">
        <v>27</v>
      </c>
      <c r="C88" s="1" t="s">
        <v>106</v>
      </c>
      <c r="D88" s="6">
        <v>46157.0</v>
      </c>
      <c r="E88" s="6">
        <v>46157.0</v>
      </c>
      <c r="F88" s="1">
        <v>1.0</v>
      </c>
      <c r="G88" s="7">
        <v>103.12</v>
      </c>
      <c r="H88" s="7">
        <v>103.12</v>
      </c>
      <c r="I88" s="1">
        <v>60.0</v>
      </c>
      <c r="J88" s="1" t="s">
        <v>17</v>
      </c>
      <c r="K88" s="1">
        <v>1.0</v>
      </c>
    </row>
    <row r="89">
      <c r="A89" s="1" t="s">
        <v>120</v>
      </c>
      <c r="B89" s="1" t="s">
        <v>19</v>
      </c>
      <c r="C89" s="1" t="s">
        <v>106</v>
      </c>
      <c r="D89" s="6">
        <v>46142.0</v>
      </c>
      <c r="E89" s="6">
        <v>46142.0</v>
      </c>
      <c r="F89" s="1">
        <v>1.0</v>
      </c>
      <c r="G89" s="7">
        <v>130.39</v>
      </c>
      <c r="H89" s="7">
        <v>130.39</v>
      </c>
      <c r="I89" s="1">
        <v>75.0</v>
      </c>
      <c r="J89" s="1" t="s">
        <v>17</v>
      </c>
      <c r="K89" s="1">
        <v>1.0</v>
      </c>
    </row>
    <row r="90">
      <c r="A90" s="1" t="s">
        <v>121</v>
      </c>
      <c r="B90" s="1" t="s">
        <v>22</v>
      </c>
      <c r="C90" s="1" t="s">
        <v>106</v>
      </c>
      <c r="D90" s="6">
        <v>45654.0</v>
      </c>
      <c r="E90" s="6">
        <v>45654.0</v>
      </c>
      <c r="F90" s="1">
        <v>1.0</v>
      </c>
      <c r="G90" s="7">
        <v>76.19</v>
      </c>
      <c r="H90" s="7">
        <v>76.19</v>
      </c>
      <c r="I90" s="1">
        <v>563.0</v>
      </c>
      <c r="J90" s="1" t="s">
        <v>14</v>
      </c>
      <c r="K90" s="1">
        <v>1.0</v>
      </c>
    </row>
    <row r="91">
      <c r="A91" s="1" t="s">
        <v>122</v>
      </c>
      <c r="B91" s="1" t="s">
        <v>12</v>
      </c>
      <c r="C91" s="1" t="s">
        <v>106</v>
      </c>
      <c r="D91" s="6">
        <v>45579.0</v>
      </c>
      <c r="E91" s="6">
        <v>45579.0</v>
      </c>
      <c r="F91" s="1">
        <v>1.0</v>
      </c>
      <c r="G91" s="7">
        <v>111.68</v>
      </c>
      <c r="H91" s="7">
        <v>111.68</v>
      </c>
      <c r="I91" s="1">
        <v>638.0</v>
      </c>
      <c r="J91" s="1" t="s">
        <v>17</v>
      </c>
      <c r="K91" s="1">
        <v>1.0</v>
      </c>
    </row>
    <row r="92">
      <c r="A92" s="1" t="s">
        <v>123</v>
      </c>
      <c r="B92" s="1" t="s">
        <v>75</v>
      </c>
      <c r="C92" s="1" t="s">
        <v>106</v>
      </c>
      <c r="D92" s="6">
        <v>45993.0</v>
      </c>
      <c r="E92" s="6">
        <v>45993.0</v>
      </c>
      <c r="F92" s="1">
        <v>1.0</v>
      </c>
      <c r="G92" s="7">
        <v>137.78</v>
      </c>
      <c r="H92" s="7">
        <v>137.78</v>
      </c>
      <c r="I92" s="1">
        <v>224.0</v>
      </c>
      <c r="J92" s="1" t="s">
        <v>17</v>
      </c>
      <c r="K92" s="1">
        <v>1.0</v>
      </c>
    </row>
    <row r="93">
      <c r="A93" s="1" t="s">
        <v>124</v>
      </c>
      <c r="B93" s="1" t="s">
        <v>12</v>
      </c>
      <c r="C93" s="1" t="s">
        <v>106</v>
      </c>
      <c r="D93" s="6">
        <v>45779.0</v>
      </c>
      <c r="E93" s="6">
        <v>45779.0</v>
      </c>
      <c r="F93" s="1">
        <v>1.0</v>
      </c>
      <c r="G93" s="7">
        <v>115.13</v>
      </c>
      <c r="H93" s="7">
        <v>115.13</v>
      </c>
      <c r="I93" s="1">
        <v>438.0</v>
      </c>
      <c r="J93" s="1" t="s">
        <v>14</v>
      </c>
      <c r="K93" s="1">
        <v>1.0</v>
      </c>
    </row>
    <row r="94">
      <c r="A94" s="1" t="s">
        <v>125</v>
      </c>
      <c r="B94" s="1" t="s">
        <v>34</v>
      </c>
      <c r="C94" s="1" t="s">
        <v>106</v>
      </c>
      <c r="D94" s="6">
        <v>45662.0</v>
      </c>
      <c r="E94" s="6">
        <v>45662.0</v>
      </c>
      <c r="F94" s="1">
        <v>1.0</v>
      </c>
      <c r="G94" s="7">
        <v>67.91</v>
      </c>
      <c r="H94" s="7">
        <v>67.91</v>
      </c>
      <c r="I94" s="1">
        <v>555.0</v>
      </c>
      <c r="J94" s="1" t="s">
        <v>17</v>
      </c>
      <c r="K94" s="1">
        <v>1.0</v>
      </c>
    </row>
    <row r="95">
      <c r="A95" s="1" t="s">
        <v>126</v>
      </c>
      <c r="B95" s="1" t="s">
        <v>96</v>
      </c>
      <c r="C95" s="1" t="s">
        <v>106</v>
      </c>
      <c r="D95" s="6">
        <v>45921.0</v>
      </c>
      <c r="E95" s="6">
        <v>45921.0</v>
      </c>
      <c r="F95" s="1">
        <v>1.0</v>
      </c>
      <c r="G95" s="7">
        <v>66.85</v>
      </c>
      <c r="H95" s="7">
        <v>66.85</v>
      </c>
      <c r="I95" s="1">
        <v>296.0</v>
      </c>
      <c r="J95" s="1" t="s">
        <v>17</v>
      </c>
      <c r="K95" s="1">
        <v>1.0</v>
      </c>
    </row>
    <row r="96">
      <c r="A96" s="1" t="s">
        <v>127</v>
      </c>
      <c r="B96" s="1" t="s">
        <v>31</v>
      </c>
      <c r="C96" s="1" t="s">
        <v>106</v>
      </c>
      <c r="D96" s="6">
        <v>45967.0</v>
      </c>
      <c r="E96" s="6">
        <v>45967.0</v>
      </c>
      <c r="F96" s="1">
        <v>1.0</v>
      </c>
      <c r="G96" s="7">
        <v>69.63</v>
      </c>
      <c r="H96" s="7">
        <v>69.63</v>
      </c>
      <c r="I96" s="1">
        <v>250.0</v>
      </c>
      <c r="J96" s="1" t="s">
        <v>14</v>
      </c>
      <c r="K96" s="1">
        <v>1.0</v>
      </c>
    </row>
    <row r="97">
      <c r="A97" s="1" t="s">
        <v>128</v>
      </c>
      <c r="B97" s="1" t="s">
        <v>34</v>
      </c>
      <c r="C97" s="1" t="s">
        <v>106</v>
      </c>
      <c r="D97" s="6">
        <v>45856.0</v>
      </c>
      <c r="E97" s="6">
        <v>45856.0</v>
      </c>
      <c r="F97" s="1">
        <v>1.0</v>
      </c>
      <c r="G97" s="7">
        <v>111.65</v>
      </c>
      <c r="H97" s="7">
        <v>111.65</v>
      </c>
      <c r="I97" s="1">
        <v>361.0</v>
      </c>
      <c r="J97" s="1" t="s">
        <v>14</v>
      </c>
      <c r="K97" s="1">
        <v>1.0</v>
      </c>
    </row>
    <row r="98">
      <c r="A98" s="1" t="s">
        <v>129</v>
      </c>
      <c r="B98" s="1" t="s">
        <v>36</v>
      </c>
      <c r="C98" s="1" t="s">
        <v>106</v>
      </c>
      <c r="D98" s="6">
        <v>46106.0</v>
      </c>
      <c r="E98" s="6">
        <v>46217.0</v>
      </c>
      <c r="F98" s="1">
        <v>8.0</v>
      </c>
      <c r="G98" s="7">
        <v>1067.68</v>
      </c>
      <c r="H98" s="7">
        <v>133.46</v>
      </c>
      <c r="I98" s="1">
        <v>0.0</v>
      </c>
      <c r="J98" s="1" t="s">
        <v>17</v>
      </c>
      <c r="K98" s="1">
        <v>1.0</v>
      </c>
    </row>
    <row r="99">
      <c r="A99" s="1" t="s">
        <v>130</v>
      </c>
      <c r="B99" s="1" t="s">
        <v>27</v>
      </c>
      <c r="C99" s="1" t="s">
        <v>106</v>
      </c>
      <c r="D99" s="6">
        <v>45648.0</v>
      </c>
      <c r="E99" s="6">
        <v>46217.0</v>
      </c>
      <c r="F99" s="1">
        <v>5.0</v>
      </c>
      <c r="G99" s="7">
        <v>333.5</v>
      </c>
      <c r="H99" s="7">
        <v>66.7</v>
      </c>
      <c r="I99" s="1">
        <v>0.0</v>
      </c>
      <c r="J99" s="1" t="s">
        <v>17</v>
      </c>
      <c r="K99" s="1">
        <v>0.0</v>
      </c>
    </row>
    <row r="100">
      <c r="A100" s="1" t="s">
        <v>131</v>
      </c>
      <c r="B100" s="1" t="s">
        <v>24</v>
      </c>
      <c r="C100" s="1" t="s">
        <v>106</v>
      </c>
      <c r="D100" s="6">
        <v>45615.0</v>
      </c>
      <c r="E100" s="6">
        <v>45615.0</v>
      </c>
      <c r="F100" s="1">
        <v>1.0</v>
      </c>
      <c r="G100" s="7">
        <v>80.77</v>
      </c>
      <c r="H100" s="7">
        <v>80.77</v>
      </c>
      <c r="I100" s="1">
        <v>602.0</v>
      </c>
      <c r="J100" s="1" t="s">
        <v>14</v>
      </c>
      <c r="K100" s="1">
        <v>0.0</v>
      </c>
    </row>
    <row r="101">
      <c r="A101" s="1" t="s">
        <v>132</v>
      </c>
      <c r="B101" s="1" t="s">
        <v>34</v>
      </c>
      <c r="C101" s="1" t="s">
        <v>106</v>
      </c>
      <c r="D101" s="6">
        <v>46126.0</v>
      </c>
      <c r="E101" s="6">
        <v>46126.0</v>
      </c>
      <c r="F101" s="1">
        <v>1.0</v>
      </c>
      <c r="G101" s="7">
        <v>129.68</v>
      </c>
      <c r="H101" s="7">
        <v>129.68</v>
      </c>
      <c r="I101" s="1">
        <v>91.0</v>
      </c>
      <c r="J101" s="1" t="s">
        <v>17</v>
      </c>
      <c r="K101" s="1">
        <v>0.0</v>
      </c>
    </row>
    <row r="102">
      <c r="A102" s="1" t="s">
        <v>133</v>
      </c>
      <c r="B102" s="1" t="s">
        <v>36</v>
      </c>
      <c r="C102" s="1" t="s">
        <v>106</v>
      </c>
      <c r="D102" s="6">
        <v>46159.0</v>
      </c>
      <c r="E102" s="6">
        <v>46159.0</v>
      </c>
      <c r="F102" s="1">
        <v>1.0</v>
      </c>
      <c r="G102" s="7">
        <v>85.55</v>
      </c>
      <c r="H102" s="7">
        <v>85.55</v>
      </c>
      <c r="I102" s="1">
        <v>58.0</v>
      </c>
      <c r="J102" s="1" t="s">
        <v>14</v>
      </c>
      <c r="K102" s="1">
        <v>0.0</v>
      </c>
    </row>
    <row r="103">
      <c r="A103" s="1" t="s">
        <v>134</v>
      </c>
      <c r="B103" s="1" t="s">
        <v>16</v>
      </c>
      <c r="C103" s="1" t="s">
        <v>106</v>
      </c>
      <c r="D103" s="6">
        <v>45802.0</v>
      </c>
      <c r="E103" s="6">
        <v>45802.0</v>
      </c>
      <c r="F103" s="1">
        <v>1.0</v>
      </c>
      <c r="G103" s="7">
        <v>81.93</v>
      </c>
      <c r="H103" s="7">
        <v>81.93</v>
      </c>
      <c r="I103" s="1">
        <v>415.0</v>
      </c>
      <c r="J103" s="1" t="s">
        <v>14</v>
      </c>
      <c r="K103" s="1">
        <v>0.0</v>
      </c>
    </row>
    <row r="104">
      <c r="A104" s="1" t="s">
        <v>135</v>
      </c>
      <c r="B104" s="1" t="s">
        <v>24</v>
      </c>
      <c r="C104" s="1" t="s">
        <v>106</v>
      </c>
      <c r="D104" s="6">
        <v>45884.0</v>
      </c>
      <c r="E104" s="6">
        <v>45884.0</v>
      </c>
      <c r="F104" s="1">
        <v>1.0</v>
      </c>
      <c r="G104" s="7">
        <v>111.15</v>
      </c>
      <c r="H104" s="7">
        <v>111.15</v>
      </c>
      <c r="I104" s="1">
        <v>333.0</v>
      </c>
      <c r="J104" s="1" t="s">
        <v>14</v>
      </c>
      <c r="K104" s="1">
        <v>0.0</v>
      </c>
    </row>
    <row r="105">
      <c r="A105" s="1" t="s">
        <v>136</v>
      </c>
      <c r="B105" s="1" t="s">
        <v>29</v>
      </c>
      <c r="C105" s="1" t="s">
        <v>106</v>
      </c>
      <c r="D105" s="6">
        <v>45615.0</v>
      </c>
      <c r="E105" s="6">
        <v>45615.0</v>
      </c>
      <c r="F105" s="1">
        <v>1.0</v>
      </c>
      <c r="G105" s="7">
        <v>104.25</v>
      </c>
      <c r="H105" s="7">
        <v>104.25</v>
      </c>
      <c r="I105" s="1">
        <v>602.0</v>
      </c>
      <c r="J105" s="1" t="s">
        <v>17</v>
      </c>
      <c r="K105" s="1">
        <v>0.0</v>
      </c>
    </row>
    <row r="106">
      <c r="A106" s="1" t="s">
        <v>137</v>
      </c>
      <c r="B106" s="1" t="s">
        <v>22</v>
      </c>
      <c r="C106" s="1" t="s">
        <v>106</v>
      </c>
      <c r="D106" s="6">
        <v>45808.0</v>
      </c>
      <c r="E106" s="6">
        <v>45808.0</v>
      </c>
      <c r="F106" s="1">
        <v>1.0</v>
      </c>
      <c r="G106" s="7">
        <v>111.07</v>
      </c>
      <c r="H106" s="7">
        <v>111.07</v>
      </c>
      <c r="I106" s="1">
        <v>409.0</v>
      </c>
      <c r="J106" s="1" t="s">
        <v>14</v>
      </c>
      <c r="K106" s="1">
        <v>0.0</v>
      </c>
    </row>
    <row r="107">
      <c r="A107" s="1" t="s">
        <v>138</v>
      </c>
      <c r="B107" s="1" t="s">
        <v>96</v>
      </c>
      <c r="C107" s="1" t="s">
        <v>106</v>
      </c>
      <c r="D107" s="6">
        <v>46075.0</v>
      </c>
      <c r="E107" s="6">
        <v>46075.0</v>
      </c>
      <c r="F107" s="1">
        <v>1.0</v>
      </c>
      <c r="G107" s="7">
        <v>81.76</v>
      </c>
      <c r="H107" s="7">
        <v>81.76</v>
      </c>
      <c r="I107" s="1">
        <v>142.0</v>
      </c>
      <c r="J107" s="1" t="s">
        <v>17</v>
      </c>
      <c r="K107" s="1">
        <v>0.0</v>
      </c>
    </row>
    <row r="108">
      <c r="A108" s="1" t="s">
        <v>139</v>
      </c>
      <c r="B108" s="1" t="s">
        <v>16</v>
      </c>
      <c r="C108" s="1" t="s">
        <v>106</v>
      </c>
      <c r="D108" s="6">
        <v>46022.0</v>
      </c>
      <c r="E108" s="6">
        <v>46022.0</v>
      </c>
      <c r="F108" s="1">
        <v>1.0</v>
      </c>
      <c r="G108" s="7">
        <v>76.04</v>
      </c>
      <c r="H108" s="7">
        <v>76.04</v>
      </c>
      <c r="I108" s="1">
        <v>195.0</v>
      </c>
      <c r="J108" s="1" t="s">
        <v>17</v>
      </c>
      <c r="K108" s="1">
        <v>0.0</v>
      </c>
    </row>
    <row r="109">
      <c r="A109" s="1" t="s">
        <v>140</v>
      </c>
      <c r="B109" s="1" t="s">
        <v>12</v>
      </c>
      <c r="C109" s="1" t="s">
        <v>106</v>
      </c>
      <c r="D109" s="6">
        <v>45482.0</v>
      </c>
      <c r="E109" s="6">
        <v>45482.0</v>
      </c>
      <c r="F109" s="1">
        <v>1.0</v>
      </c>
      <c r="G109" s="7">
        <v>88.32</v>
      </c>
      <c r="H109" s="7">
        <v>88.32</v>
      </c>
      <c r="I109" s="1">
        <v>735.0</v>
      </c>
      <c r="J109" s="1" t="s">
        <v>14</v>
      </c>
      <c r="K109" s="1">
        <v>0.0</v>
      </c>
    </row>
    <row r="110">
      <c r="A110" s="1" t="s">
        <v>141</v>
      </c>
      <c r="B110" s="1" t="s">
        <v>36</v>
      </c>
      <c r="C110" s="1" t="s">
        <v>106</v>
      </c>
      <c r="D110" s="6">
        <v>45689.0</v>
      </c>
      <c r="E110" s="6">
        <v>45689.0</v>
      </c>
      <c r="F110" s="1">
        <v>1.0</v>
      </c>
      <c r="G110" s="7">
        <v>70.59</v>
      </c>
      <c r="H110" s="7">
        <v>70.59</v>
      </c>
      <c r="I110" s="1">
        <v>528.0</v>
      </c>
      <c r="J110" s="1" t="s">
        <v>17</v>
      </c>
      <c r="K110" s="1">
        <v>0.0</v>
      </c>
    </row>
    <row r="111">
      <c r="A111" s="1" t="s">
        <v>142</v>
      </c>
      <c r="B111" s="1" t="s">
        <v>19</v>
      </c>
      <c r="C111" s="1" t="s">
        <v>106</v>
      </c>
      <c r="D111" s="6">
        <v>46010.0</v>
      </c>
      <c r="E111" s="6">
        <v>46174.0</v>
      </c>
      <c r="F111" s="1">
        <v>5.0</v>
      </c>
      <c r="G111" s="7">
        <v>663.2</v>
      </c>
      <c r="H111" s="7">
        <v>132.64</v>
      </c>
      <c r="I111" s="1">
        <v>43.0</v>
      </c>
      <c r="J111" s="1" t="s">
        <v>17</v>
      </c>
      <c r="K111" s="1">
        <v>0.0</v>
      </c>
    </row>
    <row r="112">
      <c r="A112" s="1" t="s">
        <v>143</v>
      </c>
      <c r="B112" s="1" t="s">
        <v>34</v>
      </c>
      <c r="C112" s="1" t="s">
        <v>106</v>
      </c>
      <c r="D112" s="6">
        <v>45978.0</v>
      </c>
      <c r="E112" s="6">
        <v>45978.0</v>
      </c>
      <c r="F112" s="1">
        <v>1.0</v>
      </c>
      <c r="G112" s="7">
        <v>119.89</v>
      </c>
      <c r="H112" s="7">
        <v>119.89</v>
      </c>
      <c r="I112" s="1">
        <v>239.0</v>
      </c>
      <c r="J112" s="1" t="s">
        <v>14</v>
      </c>
      <c r="K112" s="1">
        <v>0.0</v>
      </c>
    </row>
    <row r="113">
      <c r="A113" s="1" t="s">
        <v>144</v>
      </c>
      <c r="B113" s="1" t="s">
        <v>36</v>
      </c>
      <c r="C113" s="1" t="s">
        <v>106</v>
      </c>
      <c r="D113" s="6">
        <v>45642.0</v>
      </c>
      <c r="E113" s="6">
        <v>45883.0</v>
      </c>
      <c r="F113" s="1">
        <v>6.0</v>
      </c>
      <c r="G113" s="7">
        <v>698.64</v>
      </c>
      <c r="H113" s="7">
        <v>116.44</v>
      </c>
      <c r="I113" s="1">
        <v>334.0</v>
      </c>
      <c r="J113" s="1" t="s">
        <v>14</v>
      </c>
      <c r="K113" s="1">
        <v>0.0</v>
      </c>
    </row>
    <row r="114">
      <c r="A114" s="1" t="s">
        <v>145</v>
      </c>
      <c r="B114" s="1" t="s">
        <v>16</v>
      </c>
      <c r="C114" s="1" t="s">
        <v>106</v>
      </c>
      <c r="D114" s="6">
        <v>45728.0</v>
      </c>
      <c r="E114" s="6">
        <v>45728.0</v>
      </c>
      <c r="F114" s="1">
        <v>1.0</v>
      </c>
      <c r="G114" s="7">
        <v>78.74</v>
      </c>
      <c r="H114" s="7">
        <v>78.74</v>
      </c>
      <c r="I114" s="1">
        <v>489.0</v>
      </c>
      <c r="J114" s="1" t="s">
        <v>17</v>
      </c>
      <c r="K114" s="1">
        <v>0.0</v>
      </c>
    </row>
    <row r="115">
      <c r="A115" s="1" t="s">
        <v>146</v>
      </c>
      <c r="B115" s="1" t="s">
        <v>34</v>
      </c>
      <c r="C115" s="1" t="s">
        <v>106</v>
      </c>
      <c r="D115" s="6">
        <v>46108.0</v>
      </c>
      <c r="E115" s="6">
        <v>46217.0</v>
      </c>
      <c r="F115" s="1">
        <v>8.0</v>
      </c>
      <c r="G115" s="7">
        <v>1126.8</v>
      </c>
      <c r="H115" s="7">
        <v>140.85</v>
      </c>
      <c r="I115" s="1">
        <v>0.0</v>
      </c>
      <c r="J115" s="1" t="s">
        <v>14</v>
      </c>
      <c r="K115" s="1">
        <v>0.0</v>
      </c>
    </row>
    <row r="116">
      <c r="A116" s="1" t="s">
        <v>147</v>
      </c>
      <c r="B116" s="1" t="s">
        <v>27</v>
      </c>
      <c r="C116" s="1" t="s">
        <v>106</v>
      </c>
      <c r="D116" s="6">
        <v>46170.0</v>
      </c>
      <c r="E116" s="6">
        <v>46217.0</v>
      </c>
      <c r="F116" s="1">
        <v>5.0</v>
      </c>
      <c r="G116" s="7">
        <v>337.85</v>
      </c>
      <c r="H116" s="7">
        <v>67.57</v>
      </c>
      <c r="I116" s="1">
        <v>0.0</v>
      </c>
      <c r="J116" s="1" t="s">
        <v>17</v>
      </c>
      <c r="K116" s="1">
        <v>0.0</v>
      </c>
    </row>
    <row r="117">
      <c r="A117" s="1" t="s">
        <v>148</v>
      </c>
      <c r="B117" s="1" t="s">
        <v>24</v>
      </c>
      <c r="C117" s="1" t="s">
        <v>106</v>
      </c>
      <c r="D117" s="6">
        <v>45996.0</v>
      </c>
      <c r="E117" s="6">
        <v>45996.0</v>
      </c>
      <c r="F117" s="1">
        <v>1.0</v>
      </c>
      <c r="G117" s="7">
        <v>118.59</v>
      </c>
      <c r="H117" s="7">
        <v>118.59</v>
      </c>
      <c r="I117" s="1">
        <v>221.0</v>
      </c>
      <c r="J117" s="1" t="s">
        <v>17</v>
      </c>
      <c r="K117" s="1">
        <v>0.0</v>
      </c>
    </row>
    <row r="118">
      <c r="A118" s="1" t="s">
        <v>149</v>
      </c>
      <c r="B118" s="1" t="s">
        <v>24</v>
      </c>
      <c r="C118" s="1" t="s">
        <v>106</v>
      </c>
      <c r="D118" s="6">
        <v>45946.0</v>
      </c>
      <c r="E118" s="6">
        <v>45946.0</v>
      </c>
      <c r="F118" s="1">
        <v>1.0</v>
      </c>
      <c r="G118" s="7">
        <v>108.19</v>
      </c>
      <c r="H118" s="7">
        <v>108.19</v>
      </c>
      <c r="I118" s="1">
        <v>271.0</v>
      </c>
      <c r="J118" s="1" t="s">
        <v>14</v>
      </c>
      <c r="K118" s="1">
        <v>0.0</v>
      </c>
    </row>
    <row r="119">
      <c r="A119" s="1" t="s">
        <v>150</v>
      </c>
      <c r="B119" s="1" t="s">
        <v>12</v>
      </c>
      <c r="C119" s="1" t="s">
        <v>106</v>
      </c>
      <c r="D119" s="6">
        <v>45815.0</v>
      </c>
      <c r="E119" s="6">
        <v>45815.0</v>
      </c>
      <c r="F119" s="1">
        <v>1.0</v>
      </c>
      <c r="G119" s="7">
        <v>79.02</v>
      </c>
      <c r="H119" s="7">
        <v>79.02</v>
      </c>
      <c r="I119" s="1">
        <v>402.0</v>
      </c>
      <c r="J119" s="1" t="s">
        <v>17</v>
      </c>
      <c r="K119" s="1">
        <v>0.0</v>
      </c>
    </row>
    <row r="120">
      <c r="A120" s="1" t="s">
        <v>151</v>
      </c>
      <c r="B120" s="1" t="s">
        <v>75</v>
      </c>
      <c r="C120" s="1" t="s">
        <v>106</v>
      </c>
      <c r="D120" s="6">
        <v>45661.0</v>
      </c>
      <c r="E120" s="6">
        <v>45661.0</v>
      </c>
      <c r="F120" s="1">
        <v>1.0</v>
      </c>
      <c r="G120" s="7">
        <v>111.87</v>
      </c>
      <c r="H120" s="7">
        <v>111.87</v>
      </c>
      <c r="I120" s="1">
        <v>556.0</v>
      </c>
      <c r="J120" s="1" t="s">
        <v>17</v>
      </c>
      <c r="K120" s="1">
        <v>0.0</v>
      </c>
    </row>
    <row r="121">
      <c r="A121" s="1" t="s">
        <v>152</v>
      </c>
      <c r="B121" s="1" t="s">
        <v>29</v>
      </c>
      <c r="C121" s="1" t="s">
        <v>106</v>
      </c>
      <c r="D121" s="6">
        <v>45552.0</v>
      </c>
      <c r="E121" s="6">
        <v>45912.0</v>
      </c>
      <c r="F121" s="1">
        <v>3.0</v>
      </c>
      <c r="G121" s="7">
        <v>269.31</v>
      </c>
      <c r="H121" s="7">
        <v>89.77</v>
      </c>
      <c r="I121" s="1">
        <v>305.0</v>
      </c>
      <c r="J121" s="1" t="s">
        <v>17</v>
      </c>
      <c r="K121" s="1">
        <v>0.0</v>
      </c>
    </row>
    <row r="122">
      <c r="A122" s="1" t="s">
        <v>153</v>
      </c>
      <c r="B122" s="1" t="s">
        <v>19</v>
      </c>
      <c r="C122" s="1" t="s">
        <v>106</v>
      </c>
      <c r="D122" s="6">
        <v>46093.0</v>
      </c>
      <c r="E122" s="6">
        <v>46093.0</v>
      </c>
      <c r="F122" s="1">
        <v>1.0</v>
      </c>
      <c r="G122" s="7">
        <v>72.9</v>
      </c>
      <c r="H122" s="7">
        <v>72.9</v>
      </c>
      <c r="I122" s="1">
        <v>124.0</v>
      </c>
      <c r="J122" s="1" t="s">
        <v>17</v>
      </c>
      <c r="K122" s="1">
        <v>0.0</v>
      </c>
    </row>
    <row r="123">
      <c r="A123" s="1" t="s">
        <v>154</v>
      </c>
      <c r="B123" s="1" t="s">
        <v>29</v>
      </c>
      <c r="C123" s="1" t="s">
        <v>106</v>
      </c>
      <c r="D123" s="6">
        <v>45958.0</v>
      </c>
      <c r="E123" s="6">
        <v>45958.0</v>
      </c>
      <c r="F123" s="1">
        <v>1.0</v>
      </c>
      <c r="G123" s="7">
        <v>106.7</v>
      </c>
      <c r="H123" s="7">
        <v>106.7</v>
      </c>
      <c r="I123" s="1">
        <v>259.0</v>
      </c>
      <c r="J123" s="1" t="s">
        <v>17</v>
      </c>
      <c r="K123" s="1">
        <v>0.0</v>
      </c>
    </row>
    <row r="124">
      <c r="A124" s="1" t="s">
        <v>155</v>
      </c>
      <c r="B124" s="1" t="s">
        <v>16</v>
      </c>
      <c r="C124" s="1" t="s">
        <v>106</v>
      </c>
      <c r="D124" s="6">
        <v>46058.0</v>
      </c>
      <c r="E124" s="6">
        <v>46058.0</v>
      </c>
      <c r="F124" s="1">
        <v>1.0</v>
      </c>
      <c r="G124" s="7">
        <v>84.81</v>
      </c>
      <c r="H124" s="7">
        <v>84.81</v>
      </c>
      <c r="I124" s="1">
        <v>159.0</v>
      </c>
      <c r="J124" s="1" t="s">
        <v>14</v>
      </c>
      <c r="K124" s="1">
        <v>0.0</v>
      </c>
    </row>
    <row r="125">
      <c r="A125" s="1" t="s">
        <v>156</v>
      </c>
      <c r="B125" s="1" t="s">
        <v>24</v>
      </c>
      <c r="C125" s="1" t="s">
        <v>157</v>
      </c>
      <c r="D125" s="6">
        <v>45968.0</v>
      </c>
      <c r="E125" s="6">
        <v>46217.0</v>
      </c>
      <c r="F125" s="1">
        <v>2.0</v>
      </c>
      <c r="G125" s="7">
        <v>91.54</v>
      </c>
      <c r="H125" s="7">
        <v>45.77</v>
      </c>
      <c r="I125" s="1">
        <v>0.0</v>
      </c>
      <c r="J125" s="1" t="s">
        <v>14</v>
      </c>
      <c r="K125" s="1">
        <v>2.0</v>
      </c>
    </row>
    <row r="126">
      <c r="A126" s="1" t="s">
        <v>158</v>
      </c>
      <c r="B126" s="1" t="s">
        <v>24</v>
      </c>
      <c r="C126" s="1" t="s">
        <v>157</v>
      </c>
      <c r="D126" s="6">
        <v>45491.0</v>
      </c>
      <c r="E126" s="6">
        <v>45491.0</v>
      </c>
      <c r="F126" s="1">
        <v>1.0</v>
      </c>
      <c r="G126" s="7">
        <v>59.72</v>
      </c>
      <c r="H126" s="7">
        <v>59.72</v>
      </c>
      <c r="I126" s="1">
        <v>726.0</v>
      </c>
      <c r="J126" s="1" t="s">
        <v>17</v>
      </c>
      <c r="K126" s="1">
        <v>2.0</v>
      </c>
    </row>
    <row r="127">
      <c r="A127" s="1" t="s">
        <v>159</v>
      </c>
      <c r="B127" s="1" t="s">
        <v>34</v>
      </c>
      <c r="C127" s="1" t="s">
        <v>157</v>
      </c>
      <c r="D127" s="6">
        <v>45782.0</v>
      </c>
      <c r="E127" s="6">
        <v>45782.0</v>
      </c>
      <c r="F127" s="1">
        <v>1.0</v>
      </c>
      <c r="G127" s="7">
        <v>65.86</v>
      </c>
      <c r="H127" s="7">
        <v>65.86</v>
      </c>
      <c r="I127" s="1">
        <v>435.0</v>
      </c>
      <c r="J127" s="1" t="s">
        <v>14</v>
      </c>
      <c r="K127" s="1">
        <v>2.0</v>
      </c>
    </row>
    <row r="128">
      <c r="A128" s="1" t="s">
        <v>160</v>
      </c>
      <c r="B128" s="1" t="s">
        <v>27</v>
      </c>
      <c r="C128" s="1" t="s">
        <v>157</v>
      </c>
      <c r="D128" s="6">
        <v>45822.0</v>
      </c>
      <c r="E128" s="6">
        <v>45822.0</v>
      </c>
      <c r="F128" s="1">
        <v>1.0</v>
      </c>
      <c r="G128" s="7">
        <v>88.55</v>
      </c>
      <c r="H128" s="7">
        <v>88.55</v>
      </c>
      <c r="I128" s="1">
        <v>395.0</v>
      </c>
      <c r="J128" s="1" t="s">
        <v>17</v>
      </c>
      <c r="K128" s="1">
        <v>2.0</v>
      </c>
    </row>
    <row r="129">
      <c r="A129" s="1" t="s">
        <v>161</v>
      </c>
      <c r="B129" s="1" t="s">
        <v>96</v>
      </c>
      <c r="C129" s="1" t="s">
        <v>157</v>
      </c>
      <c r="D129" s="6">
        <v>45864.0</v>
      </c>
      <c r="E129" s="6">
        <v>45864.0</v>
      </c>
      <c r="F129" s="1">
        <v>1.0</v>
      </c>
      <c r="G129" s="7">
        <v>118.4</v>
      </c>
      <c r="H129" s="7">
        <v>118.4</v>
      </c>
      <c r="I129" s="1">
        <v>353.0</v>
      </c>
      <c r="J129" s="1" t="s">
        <v>17</v>
      </c>
      <c r="K129" s="1">
        <v>2.0</v>
      </c>
    </row>
    <row r="130">
      <c r="A130" s="1" t="s">
        <v>162</v>
      </c>
      <c r="B130" s="1" t="s">
        <v>75</v>
      </c>
      <c r="C130" s="1" t="s">
        <v>157</v>
      </c>
      <c r="D130" s="6">
        <v>46165.0</v>
      </c>
      <c r="E130" s="6">
        <v>46165.0</v>
      </c>
      <c r="F130" s="1">
        <v>1.0</v>
      </c>
      <c r="G130" s="7">
        <v>106.01</v>
      </c>
      <c r="H130" s="7">
        <v>106.01</v>
      </c>
      <c r="I130" s="1">
        <v>52.0</v>
      </c>
      <c r="J130" s="1" t="s">
        <v>14</v>
      </c>
      <c r="K130" s="1">
        <v>2.0</v>
      </c>
    </row>
    <row r="131">
      <c r="A131" s="1" t="s">
        <v>163</v>
      </c>
      <c r="B131" s="1" t="s">
        <v>75</v>
      </c>
      <c r="C131" s="1" t="s">
        <v>157</v>
      </c>
      <c r="D131" s="6">
        <v>45513.0</v>
      </c>
      <c r="E131" s="6">
        <v>45513.0</v>
      </c>
      <c r="F131" s="1">
        <v>1.0</v>
      </c>
      <c r="G131" s="7">
        <v>120.95</v>
      </c>
      <c r="H131" s="7">
        <v>120.95</v>
      </c>
      <c r="I131" s="1">
        <v>704.0</v>
      </c>
      <c r="J131" s="1" t="s">
        <v>17</v>
      </c>
      <c r="K131" s="1">
        <v>2.0</v>
      </c>
    </row>
    <row r="132">
      <c r="A132" s="1" t="s">
        <v>164</v>
      </c>
      <c r="B132" s="1" t="s">
        <v>19</v>
      </c>
      <c r="C132" s="1" t="s">
        <v>157</v>
      </c>
      <c r="D132" s="6">
        <v>45986.0</v>
      </c>
      <c r="E132" s="6">
        <v>45986.0</v>
      </c>
      <c r="F132" s="1">
        <v>1.0</v>
      </c>
      <c r="G132" s="7">
        <v>77.5</v>
      </c>
      <c r="H132" s="7">
        <v>77.5</v>
      </c>
      <c r="I132" s="1">
        <v>231.0</v>
      </c>
      <c r="J132" s="1" t="s">
        <v>14</v>
      </c>
      <c r="K132" s="1">
        <v>2.0</v>
      </c>
    </row>
    <row r="133">
      <c r="A133" s="1" t="s">
        <v>165</v>
      </c>
      <c r="B133" s="1" t="s">
        <v>27</v>
      </c>
      <c r="C133" s="1" t="s">
        <v>157</v>
      </c>
      <c r="D133" s="6">
        <v>46042.0</v>
      </c>
      <c r="E133" s="6">
        <v>46217.0</v>
      </c>
      <c r="F133" s="1">
        <v>4.0</v>
      </c>
      <c r="G133" s="7">
        <v>243.32</v>
      </c>
      <c r="H133" s="7">
        <v>60.83</v>
      </c>
      <c r="I133" s="1">
        <v>0.0</v>
      </c>
      <c r="J133" s="1" t="s">
        <v>17</v>
      </c>
      <c r="K133" s="1">
        <v>2.0</v>
      </c>
    </row>
    <row r="134">
      <c r="A134" s="1" t="s">
        <v>166</v>
      </c>
      <c r="B134" s="1" t="s">
        <v>36</v>
      </c>
      <c r="C134" s="1" t="s">
        <v>157</v>
      </c>
      <c r="D134" s="6">
        <v>45847.0</v>
      </c>
      <c r="E134" s="6">
        <v>45847.0</v>
      </c>
      <c r="F134" s="1">
        <v>1.0</v>
      </c>
      <c r="G134" s="7">
        <v>97.62</v>
      </c>
      <c r="H134" s="7">
        <v>97.62</v>
      </c>
      <c r="I134" s="1">
        <v>370.0</v>
      </c>
      <c r="J134" s="1" t="s">
        <v>17</v>
      </c>
      <c r="K134" s="1">
        <v>2.0</v>
      </c>
    </row>
    <row r="135">
      <c r="A135" s="1" t="s">
        <v>167</v>
      </c>
      <c r="B135" s="1" t="s">
        <v>22</v>
      </c>
      <c r="C135" s="1" t="s">
        <v>157</v>
      </c>
      <c r="D135" s="6">
        <v>45793.0</v>
      </c>
      <c r="E135" s="6">
        <v>45793.0</v>
      </c>
      <c r="F135" s="1">
        <v>1.0</v>
      </c>
      <c r="G135" s="7">
        <v>71.36</v>
      </c>
      <c r="H135" s="7">
        <v>71.36</v>
      </c>
      <c r="I135" s="1">
        <v>424.0</v>
      </c>
      <c r="J135" s="1" t="s">
        <v>17</v>
      </c>
      <c r="K135" s="1">
        <v>2.0</v>
      </c>
    </row>
    <row r="136">
      <c r="A136" s="1" t="s">
        <v>168</v>
      </c>
      <c r="B136" s="1" t="s">
        <v>12</v>
      </c>
      <c r="C136" s="1" t="s">
        <v>157</v>
      </c>
      <c r="D136" s="6">
        <v>45723.0</v>
      </c>
      <c r="E136" s="6">
        <v>45723.0</v>
      </c>
      <c r="F136" s="1">
        <v>1.0</v>
      </c>
      <c r="G136" s="7">
        <v>68.38</v>
      </c>
      <c r="H136" s="7">
        <v>68.38</v>
      </c>
      <c r="I136" s="1">
        <v>494.0</v>
      </c>
      <c r="J136" s="1" t="s">
        <v>17</v>
      </c>
      <c r="K136" s="1">
        <v>2.0</v>
      </c>
    </row>
    <row r="137">
      <c r="A137" s="1" t="s">
        <v>169</v>
      </c>
      <c r="B137" s="1" t="s">
        <v>27</v>
      </c>
      <c r="C137" s="1" t="s">
        <v>157</v>
      </c>
      <c r="D137" s="6">
        <v>46137.0</v>
      </c>
      <c r="E137" s="6">
        <v>46137.0</v>
      </c>
      <c r="F137" s="1">
        <v>1.0</v>
      </c>
      <c r="G137" s="7">
        <v>79.5</v>
      </c>
      <c r="H137" s="7">
        <v>79.5</v>
      </c>
      <c r="I137" s="1">
        <v>80.0</v>
      </c>
      <c r="J137" s="1" t="s">
        <v>17</v>
      </c>
      <c r="K137" s="1">
        <v>2.0</v>
      </c>
    </row>
    <row r="138">
      <c r="A138" s="1" t="s">
        <v>170</v>
      </c>
      <c r="B138" s="1" t="s">
        <v>12</v>
      </c>
      <c r="C138" s="1" t="s">
        <v>157</v>
      </c>
      <c r="D138" s="6">
        <v>45861.0</v>
      </c>
      <c r="E138" s="6">
        <v>45861.0</v>
      </c>
      <c r="F138" s="1">
        <v>1.0</v>
      </c>
      <c r="G138" s="7">
        <v>112.93</v>
      </c>
      <c r="H138" s="7">
        <v>112.93</v>
      </c>
      <c r="I138" s="1">
        <v>356.0</v>
      </c>
      <c r="J138" s="1" t="s">
        <v>17</v>
      </c>
      <c r="K138" s="1">
        <v>2.0</v>
      </c>
    </row>
    <row r="139">
      <c r="A139" s="1" t="s">
        <v>171</v>
      </c>
      <c r="B139" s="1" t="s">
        <v>75</v>
      </c>
      <c r="C139" s="1" t="s">
        <v>157</v>
      </c>
      <c r="D139" s="6">
        <v>45819.0</v>
      </c>
      <c r="E139" s="6">
        <v>45819.0</v>
      </c>
      <c r="F139" s="1">
        <v>1.0</v>
      </c>
      <c r="G139" s="7">
        <v>127.73</v>
      </c>
      <c r="H139" s="7">
        <v>127.73</v>
      </c>
      <c r="I139" s="1">
        <v>398.0</v>
      </c>
      <c r="J139" s="1" t="s">
        <v>17</v>
      </c>
      <c r="K139" s="1">
        <v>2.0</v>
      </c>
    </row>
    <row r="140">
      <c r="A140" s="1" t="s">
        <v>172</v>
      </c>
      <c r="B140" s="1" t="s">
        <v>19</v>
      </c>
      <c r="C140" s="1" t="s">
        <v>157</v>
      </c>
      <c r="D140" s="6">
        <v>46169.0</v>
      </c>
      <c r="E140" s="6">
        <v>46169.0</v>
      </c>
      <c r="F140" s="1">
        <v>1.0</v>
      </c>
      <c r="G140" s="7">
        <v>105.21</v>
      </c>
      <c r="H140" s="7">
        <v>105.21</v>
      </c>
      <c r="I140" s="1">
        <v>48.0</v>
      </c>
      <c r="J140" s="1" t="s">
        <v>17</v>
      </c>
      <c r="K140" s="1">
        <v>1.0</v>
      </c>
    </row>
    <row r="141">
      <c r="A141" s="1" t="s">
        <v>173</v>
      </c>
      <c r="B141" s="1" t="s">
        <v>34</v>
      </c>
      <c r="C141" s="1" t="s">
        <v>157</v>
      </c>
      <c r="D141" s="6">
        <v>45624.0</v>
      </c>
      <c r="E141" s="6">
        <v>45624.0</v>
      </c>
      <c r="F141" s="1">
        <v>1.0</v>
      </c>
      <c r="G141" s="7">
        <v>60.63</v>
      </c>
      <c r="H141" s="7">
        <v>60.63</v>
      </c>
      <c r="I141" s="1">
        <v>593.0</v>
      </c>
      <c r="J141" s="1" t="s">
        <v>17</v>
      </c>
      <c r="K141" s="1">
        <v>1.0</v>
      </c>
    </row>
    <row r="142">
      <c r="A142" s="1" t="s">
        <v>174</v>
      </c>
      <c r="B142" s="1" t="s">
        <v>12</v>
      </c>
      <c r="C142" s="1" t="s">
        <v>157</v>
      </c>
      <c r="D142" s="6">
        <v>45977.0</v>
      </c>
      <c r="E142" s="6">
        <v>45977.0</v>
      </c>
      <c r="F142" s="1">
        <v>1.0</v>
      </c>
      <c r="G142" s="7">
        <v>69.2</v>
      </c>
      <c r="H142" s="7">
        <v>69.2</v>
      </c>
      <c r="I142" s="1">
        <v>240.0</v>
      </c>
      <c r="J142" s="1" t="s">
        <v>17</v>
      </c>
      <c r="K142" s="1">
        <v>1.0</v>
      </c>
    </row>
    <row r="143">
      <c r="A143" s="1" t="s">
        <v>175</v>
      </c>
      <c r="B143" s="1" t="s">
        <v>29</v>
      </c>
      <c r="C143" s="1" t="s">
        <v>157</v>
      </c>
      <c r="D143" s="6">
        <v>46152.0</v>
      </c>
      <c r="E143" s="6">
        <v>46152.0</v>
      </c>
      <c r="F143" s="1">
        <v>1.0</v>
      </c>
      <c r="G143" s="7">
        <v>45.95</v>
      </c>
      <c r="H143" s="7">
        <v>45.95</v>
      </c>
      <c r="I143" s="1">
        <v>65.0</v>
      </c>
      <c r="J143" s="1" t="s">
        <v>17</v>
      </c>
      <c r="K143" s="1">
        <v>1.0</v>
      </c>
    </row>
    <row r="144">
      <c r="A144" s="1" t="s">
        <v>176</v>
      </c>
      <c r="B144" s="1" t="s">
        <v>24</v>
      </c>
      <c r="C144" s="1" t="s">
        <v>157</v>
      </c>
      <c r="D144" s="6">
        <v>45881.0</v>
      </c>
      <c r="E144" s="6">
        <v>45881.0</v>
      </c>
      <c r="F144" s="1">
        <v>1.0</v>
      </c>
      <c r="G144" s="7">
        <v>73.06</v>
      </c>
      <c r="H144" s="7">
        <v>73.06</v>
      </c>
      <c r="I144" s="1">
        <v>336.0</v>
      </c>
      <c r="J144" s="1" t="s">
        <v>17</v>
      </c>
      <c r="K144" s="1">
        <v>1.0</v>
      </c>
    </row>
    <row r="145">
      <c r="A145" s="1" t="s">
        <v>177</v>
      </c>
      <c r="B145" s="1" t="s">
        <v>12</v>
      </c>
      <c r="C145" s="1" t="s">
        <v>157</v>
      </c>
      <c r="D145" s="6">
        <v>45586.0</v>
      </c>
      <c r="E145" s="6">
        <v>45586.0</v>
      </c>
      <c r="F145" s="1">
        <v>1.0</v>
      </c>
      <c r="G145" s="7">
        <v>117.45</v>
      </c>
      <c r="H145" s="7">
        <v>117.45</v>
      </c>
      <c r="I145" s="1">
        <v>631.0</v>
      </c>
      <c r="J145" s="1" t="s">
        <v>14</v>
      </c>
      <c r="K145" s="1">
        <v>1.0</v>
      </c>
    </row>
    <row r="146">
      <c r="A146" s="1" t="s">
        <v>178</v>
      </c>
      <c r="B146" s="1" t="s">
        <v>96</v>
      </c>
      <c r="C146" s="1" t="s">
        <v>157</v>
      </c>
      <c r="D146" s="6">
        <v>46045.0</v>
      </c>
      <c r="E146" s="6">
        <v>46045.0</v>
      </c>
      <c r="F146" s="1">
        <v>1.0</v>
      </c>
      <c r="G146" s="7">
        <v>96.52</v>
      </c>
      <c r="H146" s="7">
        <v>96.52</v>
      </c>
      <c r="I146" s="1">
        <v>172.0</v>
      </c>
      <c r="J146" s="1" t="s">
        <v>17</v>
      </c>
      <c r="K146" s="1">
        <v>1.0</v>
      </c>
    </row>
    <row r="147">
      <c r="A147" s="1" t="s">
        <v>179</v>
      </c>
      <c r="B147" s="1" t="s">
        <v>16</v>
      </c>
      <c r="C147" s="1" t="s">
        <v>157</v>
      </c>
      <c r="D147" s="6">
        <v>46127.0</v>
      </c>
      <c r="E147" s="6">
        <v>46127.0</v>
      </c>
      <c r="F147" s="1">
        <v>1.0</v>
      </c>
      <c r="G147" s="7">
        <v>112.37</v>
      </c>
      <c r="H147" s="7">
        <v>112.37</v>
      </c>
      <c r="I147" s="1">
        <v>90.0</v>
      </c>
      <c r="J147" s="1" t="s">
        <v>17</v>
      </c>
      <c r="K147" s="1">
        <v>1.0</v>
      </c>
    </row>
    <row r="148">
      <c r="A148" s="1" t="s">
        <v>180</v>
      </c>
      <c r="B148" s="1" t="s">
        <v>19</v>
      </c>
      <c r="C148" s="1" t="s">
        <v>157</v>
      </c>
      <c r="D148" s="6">
        <v>46168.0</v>
      </c>
      <c r="E148" s="6">
        <v>46168.0</v>
      </c>
      <c r="F148" s="1">
        <v>1.0</v>
      </c>
      <c r="G148" s="7">
        <v>70.28</v>
      </c>
      <c r="H148" s="7">
        <v>70.28</v>
      </c>
      <c r="I148" s="1">
        <v>49.0</v>
      </c>
      <c r="J148" s="1" t="s">
        <v>17</v>
      </c>
      <c r="K148" s="1">
        <v>1.0</v>
      </c>
    </row>
    <row r="149">
      <c r="A149" s="1" t="s">
        <v>181</v>
      </c>
      <c r="B149" s="1" t="s">
        <v>16</v>
      </c>
      <c r="C149" s="1" t="s">
        <v>157</v>
      </c>
      <c r="D149" s="6">
        <v>45785.0</v>
      </c>
      <c r="E149" s="6">
        <v>45785.0</v>
      </c>
      <c r="F149" s="1">
        <v>1.0</v>
      </c>
      <c r="G149" s="7">
        <v>63.53</v>
      </c>
      <c r="H149" s="7">
        <v>63.53</v>
      </c>
      <c r="I149" s="1">
        <v>432.0</v>
      </c>
      <c r="J149" s="1" t="s">
        <v>14</v>
      </c>
      <c r="K149" s="1">
        <v>1.0</v>
      </c>
    </row>
    <row r="150">
      <c r="A150" s="1" t="s">
        <v>182</v>
      </c>
      <c r="B150" s="1" t="s">
        <v>27</v>
      </c>
      <c r="C150" s="1" t="s">
        <v>157</v>
      </c>
      <c r="D150" s="6">
        <v>45875.0</v>
      </c>
      <c r="E150" s="6">
        <v>45875.0</v>
      </c>
      <c r="F150" s="1">
        <v>1.0</v>
      </c>
      <c r="G150" s="7">
        <v>76.68</v>
      </c>
      <c r="H150" s="7">
        <v>76.68</v>
      </c>
      <c r="I150" s="1">
        <v>342.0</v>
      </c>
      <c r="J150" s="1" t="s">
        <v>17</v>
      </c>
      <c r="K150" s="1">
        <v>1.0</v>
      </c>
    </row>
    <row r="151">
      <c r="A151" s="1" t="s">
        <v>183</v>
      </c>
      <c r="B151" s="1" t="s">
        <v>19</v>
      </c>
      <c r="C151" s="1" t="s">
        <v>157</v>
      </c>
      <c r="D151" s="6">
        <v>45797.0</v>
      </c>
      <c r="E151" s="6">
        <v>45797.0</v>
      </c>
      <c r="F151" s="1">
        <v>1.0</v>
      </c>
      <c r="G151" s="7">
        <v>55.75</v>
      </c>
      <c r="H151" s="7">
        <v>55.75</v>
      </c>
      <c r="I151" s="1">
        <v>420.0</v>
      </c>
      <c r="J151" s="1" t="s">
        <v>17</v>
      </c>
      <c r="K151" s="1">
        <v>1.0</v>
      </c>
    </row>
    <row r="152">
      <c r="A152" s="1" t="s">
        <v>184</v>
      </c>
      <c r="B152" s="1" t="s">
        <v>22</v>
      </c>
      <c r="C152" s="1" t="s">
        <v>157</v>
      </c>
      <c r="D152" s="6">
        <v>45737.0</v>
      </c>
      <c r="E152" s="6">
        <v>45737.0</v>
      </c>
      <c r="F152" s="1">
        <v>1.0</v>
      </c>
      <c r="G152" s="7">
        <v>51.05</v>
      </c>
      <c r="H152" s="7">
        <v>51.05</v>
      </c>
      <c r="I152" s="1">
        <v>480.0</v>
      </c>
      <c r="J152" s="1" t="s">
        <v>17</v>
      </c>
      <c r="K152" s="1">
        <v>1.0</v>
      </c>
    </row>
    <row r="153">
      <c r="A153" s="1" t="s">
        <v>185</v>
      </c>
      <c r="B153" s="1" t="s">
        <v>29</v>
      </c>
      <c r="C153" s="1" t="s">
        <v>157</v>
      </c>
      <c r="D153" s="6">
        <v>45580.0</v>
      </c>
      <c r="E153" s="6">
        <v>45580.0</v>
      </c>
      <c r="F153" s="1">
        <v>1.0</v>
      </c>
      <c r="G153" s="7">
        <v>105.14</v>
      </c>
      <c r="H153" s="7">
        <v>105.14</v>
      </c>
      <c r="I153" s="1">
        <v>637.0</v>
      </c>
      <c r="J153" s="1" t="s">
        <v>17</v>
      </c>
      <c r="K153" s="1">
        <v>1.0</v>
      </c>
    </row>
    <row r="154">
      <c r="A154" s="1" t="s">
        <v>186</v>
      </c>
      <c r="B154" s="1" t="s">
        <v>96</v>
      </c>
      <c r="C154" s="1" t="s">
        <v>157</v>
      </c>
      <c r="D154" s="6">
        <v>46012.0</v>
      </c>
      <c r="E154" s="6">
        <v>46012.0</v>
      </c>
      <c r="F154" s="1">
        <v>1.0</v>
      </c>
      <c r="G154" s="7">
        <v>102.58</v>
      </c>
      <c r="H154" s="7">
        <v>102.58</v>
      </c>
      <c r="I154" s="1">
        <v>205.0</v>
      </c>
      <c r="J154" s="1" t="s">
        <v>17</v>
      </c>
      <c r="K154" s="1">
        <v>1.0</v>
      </c>
    </row>
    <row r="155">
      <c r="A155" s="1" t="s">
        <v>187</v>
      </c>
      <c r="B155" s="1" t="s">
        <v>96</v>
      </c>
      <c r="C155" s="1" t="s">
        <v>157</v>
      </c>
      <c r="D155" s="6">
        <v>45773.0</v>
      </c>
      <c r="E155" s="6">
        <v>46217.0</v>
      </c>
      <c r="F155" s="1">
        <v>4.0</v>
      </c>
      <c r="G155" s="7">
        <v>314.84</v>
      </c>
      <c r="H155" s="7">
        <v>78.71</v>
      </c>
      <c r="I155" s="1">
        <v>0.0</v>
      </c>
      <c r="J155" s="1" t="s">
        <v>17</v>
      </c>
      <c r="K155" s="1">
        <v>1.0</v>
      </c>
    </row>
    <row r="156">
      <c r="A156" s="1" t="s">
        <v>188</v>
      </c>
      <c r="B156" s="1" t="s">
        <v>22</v>
      </c>
      <c r="C156" s="1" t="s">
        <v>157</v>
      </c>
      <c r="D156" s="6">
        <v>45742.0</v>
      </c>
      <c r="E156" s="6">
        <v>45742.0</v>
      </c>
      <c r="F156" s="1">
        <v>1.0</v>
      </c>
      <c r="G156" s="7">
        <v>125.62</v>
      </c>
      <c r="H156" s="7">
        <v>125.62</v>
      </c>
      <c r="I156" s="1">
        <v>475.0</v>
      </c>
      <c r="J156" s="1" t="s">
        <v>17</v>
      </c>
      <c r="K156" s="1">
        <v>1.0</v>
      </c>
    </row>
    <row r="157">
      <c r="A157" s="1" t="s">
        <v>189</v>
      </c>
      <c r="B157" s="1" t="s">
        <v>12</v>
      </c>
      <c r="C157" s="1" t="s">
        <v>157</v>
      </c>
      <c r="D157" s="6">
        <v>45975.0</v>
      </c>
      <c r="E157" s="6">
        <v>45975.0</v>
      </c>
      <c r="F157" s="1">
        <v>1.0</v>
      </c>
      <c r="G157" s="7">
        <v>107.09</v>
      </c>
      <c r="H157" s="7">
        <v>107.09</v>
      </c>
      <c r="I157" s="1">
        <v>242.0</v>
      </c>
      <c r="J157" s="1" t="s">
        <v>14</v>
      </c>
      <c r="K157" s="1">
        <v>1.0</v>
      </c>
    </row>
    <row r="158">
      <c r="A158" s="1" t="s">
        <v>190</v>
      </c>
      <c r="B158" s="1" t="s">
        <v>31</v>
      </c>
      <c r="C158" s="1" t="s">
        <v>157</v>
      </c>
      <c r="D158" s="6">
        <v>46150.0</v>
      </c>
      <c r="E158" s="6">
        <v>46150.0</v>
      </c>
      <c r="F158" s="1">
        <v>1.0</v>
      </c>
      <c r="G158" s="7">
        <v>69.64</v>
      </c>
      <c r="H158" s="7">
        <v>69.64</v>
      </c>
      <c r="I158" s="1">
        <v>67.0</v>
      </c>
      <c r="J158" s="1" t="s">
        <v>17</v>
      </c>
      <c r="K158" s="1">
        <v>1.0</v>
      </c>
    </row>
    <row r="159">
      <c r="A159" s="1" t="s">
        <v>191</v>
      </c>
      <c r="B159" s="1" t="s">
        <v>16</v>
      </c>
      <c r="C159" s="1" t="s">
        <v>157</v>
      </c>
      <c r="D159" s="6">
        <v>46051.0</v>
      </c>
      <c r="E159" s="6">
        <v>46051.0</v>
      </c>
      <c r="F159" s="1">
        <v>1.0</v>
      </c>
      <c r="G159" s="7">
        <v>104.69</v>
      </c>
      <c r="H159" s="7">
        <v>104.69</v>
      </c>
      <c r="I159" s="1">
        <v>166.0</v>
      </c>
      <c r="J159" s="1" t="s">
        <v>17</v>
      </c>
      <c r="K159" s="1">
        <v>1.0</v>
      </c>
    </row>
    <row r="160">
      <c r="A160" s="1" t="s">
        <v>192</v>
      </c>
      <c r="B160" s="1" t="s">
        <v>16</v>
      </c>
      <c r="C160" s="1" t="s">
        <v>157</v>
      </c>
      <c r="D160" s="6">
        <v>45502.0</v>
      </c>
      <c r="E160" s="6">
        <v>45502.0</v>
      </c>
      <c r="F160" s="1">
        <v>1.0</v>
      </c>
      <c r="G160" s="7">
        <v>125.36</v>
      </c>
      <c r="H160" s="7">
        <v>125.36</v>
      </c>
      <c r="I160" s="1">
        <v>715.0</v>
      </c>
      <c r="J160" s="1" t="s">
        <v>17</v>
      </c>
      <c r="K160" s="1">
        <v>1.0</v>
      </c>
    </row>
    <row r="161">
      <c r="A161" s="1" t="s">
        <v>193</v>
      </c>
      <c r="B161" s="1" t="s">
        <v>24</v>
      </c>
      <c r="C161" s="1" t="s">
        <v>157</v>
      </c>
      <c r="D161" s="6">
        <v>45727.0</v>
      </c>
      <c r="E161" s="6">
        <v>45727.0</v>
      </c>
      <c r="F161" s="1">
        <v>1.0</v>
      </c>
      <c r="G161" s="7">
        <v>65.11</v>
      </c>
      <c r="H161" s="7">
        <v>65.11</v>
      </c>
      <c r="I161" s="1">
        <v>490.0</v>
      </c>
      <c r="J161" s="1" t="s">
        <v>17</v>
      </c>
      <c r="K161" s="1">
        <v>0.0</v>
      </c>
    </row>
    <row r="162">
      <c r="A162" s="1" t="s">
        <v>194</v>
      </c>
      <c r="B162" s="1" t="s">
        <v>75</v>
      </c>
      <c r="C162" s="1" t="s">
        <v>157</v>
      </c>
      <c r="D162" s="6">
        <v>45606.0</v>
      </c>
      <c r="E162" s="6">
        <v>46178.0</v>
      </c>
      <c r="F162" s="1">
        <v>8.0</v>
      </c>
      <c r="G162" s="7">
        <v>456.08</v>
      </c>
      <c r="H162" s="7">
        <v>57.01</v>
      </c>
      <c r="I162" s="1">
        <v>39.0</v>
      </c>
      <c r="J162" s="1" t="s">
        <v>17</v>
      </c>
      <c r="K162" s="1">
        <v>0.0</v>
      </c>
    </row>
    <row r="163">
      <c r="A163" s="1" t="s">
        <v>195</v>
      </c>
      <c r="B163" s="1" t="s">
        <v>24</v>
      </c>
      <c r="C163" s="1" t="s">
        <v>157</v>
      </c>
      <c r="D163" s="6">
        <v>46119.0</v>
      </c>
      <c r="E163" s="6">
        <v>46119.0</v>
      </c>
      <c r="F163" s="1">
        <v>1.0</v>
      </c>
      <c r="G163" s="7">
        <v>82.32</v>
      </c>
      <c r="H163" s="7">
        <v>82.32</v>
      </c>
      <c r="I163" s="1">
        <v>98.0</v>
      </c>
      <c r="J163" s="1" t="s">
        <v>17</v>
      </c>
      <c r="K163" s="1">
        <v>0.0</v>
      </c>
    </row>
    <row r="164">
      <c r="A164" s="1" t="s">
        <v>196</v>
      </c>
      <c r="B164" s="1" t="s">
        <v>75</v>
      </c>
      <c r="C164" s="1" t="s">
        <v>157</v>
      </c>
      <c r="D164" s="6">
        <v>45617.0</v>
      </c>
      <c r="E164" s="6">
        <v>45617.0</v>
      </c>
      <c r="F164" s="1">
        <v>1.0</v>
      </c>
      <c r="G164" s="7">
        <v>78.84</v>
      </c>
      <c r="H164" s="7">
        <v>78.84</v>
      </c>
      <c r="I164" s="1">
        <v>600.0</v>
      </c>
      <c r="J164" s="1" t="s">
        <v>14</v>
      </c>
      <c r="K164" s="1">
        <v>0.0</v>
      </c>
    </row>
    <row r="165">
      <c r="A165" s="1" t="s">
        <v>197</v>
      </c>
      <c r="B165" s="1" t="s">
        <v>22</v>
      </c>
      <c r="C165" s="1" t="s">
        <v>157</v>
      </c>
      <c r="D165" s="6">
        <v>45807.0</v>
      </c>
      <c r="E165" s="6">
        <v>45807.0</v>
      </c>
      <c r="F165" s="1">
        <v>1.0</v>
      </c>
      <c r="G165" s="7">
        <v>94.55</v>
      </c>
      <c r="H165" s="7">
        <v>94.55</v>
      </c>
      <c r="I165" s="1">
        <v>410.0</v>
      </c>
      <c r="J165" s="1" t="s">
        <v>17</v>
      </c>
      <c r="K165" s="1">
        <v>0.0</v>
      </c>
    </row>
    <row r="166">
      <c r="A166" s="1" t="s">
        <v>198</v>
      </c>
      <c r="B166" s="1" t="s">
        <v>36</v>
      </c>
      <c r="C166" s="1" t="s">
        <v>157</v>
      </c>
      <c r="D166" s="6">
        <v>46111.0</v>
      </c>
      <c r="E166" s="6">
        <v>46111.0</v>
      </c>
      <c r="F166" s="1">
        <v>1.0</v>
      </c>
      <c r="G166" s="7">
        <v>45.78</v>
      </c>
      <c r="H166" s="7">
        <v>45.78</v>
      </c>
      <c r="I166" s="1">
        <v>106.0</v>
      </c>
      <c r="J166" s="1" t="s">
        <v>14</v>
      </c>
      <c r="K166" s="1">
        <v>0.0</v>
      </c>
    </row>
    <row r="167">
      <c r="A167" s="1" t="s">
        <v>199</v>
      </c>
      <c r="B167" s="1" t="s">
        <v>75</v>
      </c>
      <c r="C167" s="1" t="s">
        <v>157</v>
      </c>
      <c r="D167" s="6">
        <v>45497.0</v>
      </c>
      <c r="E167" s="6">
        <v>45497.0</v>
      </c>
      <c r="F167" s="1">
        <v>1.0</v>
      </c>
      <c r="G167" s="7">
        <v>81.77</v>
      </c>
      <c r="H167" s="7">
        <v>81.77</v>
      </c>
      <c r="I167" s="1">
        <v>720.0</v>
      </c>
      <c r="J167" s="1" t="s">
        <v>17</v>
      </c>
      <c r="K167" s="1">
        <v>0.0</v>
      </c>
    </row>
    <row r="168">
      <c r="A168" s="1" t="s">
        <v>200</v>
      </c>
      <c r="B168" s="1" t="s">
        <v>31</v>
      </c>
      <c r="C168" s="1" t="s">
        <v>157</v>
      </c>
      <c r="D168" s="6">
        <v>45698.0</v>
      </c>
      <c r="E168" s="6">
        <v>45698.0</v>
      </c>
      <c r="F168" s="1">
        <v>1.0</v>
      </c>
      <c r="G168" s="7">
        <v>88.47</v>
      </c>
      <c r="H168" s="7">
        <v>88.47</v>
      </c>
      <c r="I168" s="1">
        <v>519.0</v>
      </c>
      <c r="J168" s="1" t="s">
        <v>17</v>
      </c>
      <c r="K168" s="1">
        <v>0.0</v>
      </c>
    </row>
    <row r="169">
      <c r="A169" s="1" t="s">
        <v>201</v>
      </c>
      <c r="B169" s="1" t="s">
        <v>24</v>
      </c>
      <c r="C169" s="1" t="s">
        <v>157</v>
      </c>
      <c r="D169" s="6">
        <v>45877.0</v>
      </c>
      <c r="E169" s="6">
        <v>45877.0</v>
      </c>
      <c r="F169" s="1">
        <v>1.0</v>
      </c>
      <c r="G169" s="7">
        <v>64.77</v>
      </c>
      <c r="H169" s="7">
        <v>64.77</v>
      </c>
      <c r="I169" s="1">
        <v>340.0</v>
      </c>
      <c r="J169" s="1" t="s">
        <v>17</v>
      </c>
      <c r="K169" s="1">
        <v>0.0</v>
      </c>
    </row>
    <row r="170">
      <c r="A170" s="1" t="s">
        <v>202</v>
      </c>
      <c r="B170" s="1" t="s">
        <v>24</v>
      </c>
      <c r="C170" s="1" t="s">
        <v>157</v>
      </c>
      <c r="D170" s="6">
        <v>45482.0</v>
      </c>
      <c r="E170" s="6">
        <v>45482.0</v>
      </c>
      <c r="F170" s="1">
        <v>1.0</v>
      </c>
      <c r="G170" s="7">
        <v>94.28</v>
      </c>
      <c r="H170" s="7">
        <v>94.28</v>
      </c>
      <c r="I170" s="1">
        <v>735.0</v>
      </c>
      <c r="J170" s="1" t="s">
        <v>17</v>
      </c>
      <c r="K170" s="1">
        <v>0.0</v>
      </c>
    </row>
    <row r="171">
      <c r="A171" s="1" t="s">
        <v>203</v>
      </c>
      <c r="B171" s="1" t="s">
        <v>27</v>
      </c>
      <c r="C171" s="1" t="s">
        <v>157</v>
      </c>
      <c r="D171" s="6">
        <v>45763.0</v>
      </c>
      <c r="E171" s="6">
        <v>46109.0</v>
      </c>
      <c r="F171" s="1">
        <v>8.0</v>
      </c>
      <c r="G171" s="7">
        <v>696.72</v>
      </c>
      <c r="H171" s="7">
        <v>87.09</v>
      </c>
      <c r="I171" s="1">
        <v>108.0</v>
      </c>
      <c r="J171" s="1" t="s">
        <v>17</v>
      </c>
      <c r="K171" s="1">
        <v>0.0</v>
      </c>
    </row>
    <row r="172">
      <c r="A172" s="1" t="s">
        <v>204</v>
      </c>
      <c r="B172" s="1" t="s">
        <v>34</v>
      </c>
      <c r="C172" s="1" t="s">
        <v>157</v>
      </c>
      <c r="D172" s="6">
        <v>45708.0</v>
      </c>
      <c r="E172" s="6">
        <v>46021.0</v>
      </c>
      <c r="F172" s="1">
        <v>6.0</v>
      </c>
      <c r="G172" s="7">
        <v>463.08</v>
      </c>
      <c r="H172" s="7">
        <v>77.18</v>
      </c>
      <c r="I172" s="1">
        <v>196.0</v>
      </c>
      <c r="J172" s="1" t="s">
        <v>17</v>
      </c>
      <c r="K172" s="1">
        <v>0.0</v>
      </c>
    </row>
    <row r="173">
      <c r="A173" s="1" t="s">
        <v>205</v>
      </c>
      <c r="B173" s="1" t="s">
        <v>22</v>
      </c>
      <c r="C173" s="1" t="s">
        <v>157</v>
      </c>
      <c r="D173" s="6">
        <v>45920.0</v>
      </c>
      <c r="E173" s="6">
        <v>45920.0</v>
      </c>
      <c r="F173" s="1">
        <v>1.0</v>
      </c>
      <c r="G173" s="7">
        <v>95.06</v>
      </c>
      <c r="H173" s="7">
        <v>95.06</v>
      </c>
      <c r="I173" s="1">
        <v>297.0</v>
      </c>
      <c r="J173" s="1" t="s">
        <v>14</v>
      </c>
      <c r="K173" s="1">
        <v>0.0</v>
      </c>
    </row>
    <row r="174">
      <c r="A174" s="1" t="s">
        <v>206</v>
      </c>
      <c r="B174" s="1" t="s">
        <v>75</v>
      </c>
      <c r="C174" s="1" t="s">
        <v>157</v>
      </c>
      <c r="D174" s="6">
        <v>45878.0</v>
      </c>
      <c r="E174" s="6">
        <v>46073.0</v>
      </c>
      <c r="F174" s="1">
        <v>2.0</v>
      </c>
      <c r="G174" s="7">
        <v>212.34</v>
      </c>
      <c r="H174" s="7">
        <v>106.17</v>
      </c>
      <c r="I174" s="1">
        <v>144.0</v>
      </c>
      <c r="J174" s="1" t="s">
        <v>17</v>
      </c>
      <c r="K174" s="1">
        <v>0.0</v>
      </c>
    </row>
    <row r="175">
      <c r="A175" s="1" t="s">
        <v>207</v>
      </c>
      <c r="B175" s="1" t="s">
        <v>31</v>
      </c>
      <c r="C175" s="1" t="s">
        <v>157</v>
      </c>
      <c r="D175" s="6">
        <v>46136.0</v>
      </c>
      <c r="E175" s="6">
        <v>46217.0</v>
      </c>
      <c r="F175" s="1">
        <v>3.0</v>
      </c>
      <c r="G175" s="7">
        <v>172.8</v>
      </c>
      <c r="H175" s="7">
        <v>57.6</v>
      </c>
      <c r="I175" s="1">
        <v>0.0</v>
      </c>
      <c r="J175" s="1" t="s">
        <v>14</v>
      </c>
      <c r="K175" s="1">
        <v>0.0</v>
      </c>
    </row>
    <row r="176">
      <c r="A176" s="1" t="s">
        <v>208</v>
      </c>
      <c r="B176" s="1" t="s">
        <v>31</v>
      </c>
      <c r="C176" s="1" t="s">
        <v>157</v>
      </c>
      <c r="D176" s="6">
        <v>45838.0</v>
      </c>
      <c r="E176" s="6">
        <v>45838.0</v>
      </c>
      <c r="F176" s="1">
        <v>1.0</v>
      </c>
      <c r="G176" s="7">
        <v>98.65</v>
      </c>
      <c r="H176" s="7">
        <v>98.65</v>
      </c>
      <c r="I176" s="1">
        <v>379.0</v>
      </c>
      <c r="J176" s="1" t="s">
        <v>14</v>
      </c>
      <c r="K176" s="1">
        <v>0.0</v>
      </c>
    </row>
    <row r="177">
      <c r="A177" s="1" t="s">
        <v>209</v>
      </c>
      <c r="B177" s="1" t="s">
        <v>29</v>
      </c>
      <c r="C177" s="1" t="s">
        <v>157</v>
      </c>
      <c r="D177" s="6">
        <v>45691.0</v>
      </c>
      <c r="E177" s="6">
        <v>46095.0</v>
      </c>
      <c r="F177" s="1">
        <v>4.0</v>
      </c>
      <c r="G177" s="7">
        <v>376.24</v>
      </c>
      <c r="H177" s="7">
        <v>94.06</v>
      </c>
      <c r="I177" s="1">
        <v>122.0</v>
      </c>
      <c r="J177" s="1" t="s">
        <v>17</v>
      </c>
      <c r="K177" s="1">
        <v>0.0</v>
      </c>
    </row>
    <row r="178">
      <c r="A178" s="1" t="s">
        <v>210</v>
      </c>
      <c r="B178" s="1" t="s">
        <v>19</v>
      </c>
      <c r="C178" s="1" t="s">
        <v>157</v>
      </c>
      <c r="D178" s="6">
        <v>46015.0</v>
      </c>
      <c r="E178" s="6">
        <v>46015.0</v>
      </c>
      <c r="F178" s="1">
        <v>1.0</v>
      </c>
      <c r="G178" s="7">
        <v>86.8</v>
      </c>
      <c r="H178" s="7">
        <v>86.8</v>
      </c>
      <c r="I178" s="1">
        <v>202.0</v>
      </c>
      <c r="J178" s="1" t="s">
        <v>14</v>
      </c>
      <c r="K178" s="1">
        <v>0.0</v>
      </c>
    </row>
    <row r="179">
      <c r="A179" s="1" t="s">
        <v>211</v>
      </c>
      <c r="B179" s="1" t="s">
        <v>24</v>
      </c>
      <c r="C179" s="1" t="s">
        <v>157</v>
      </c>
      <c r="D179" s="6">
        <v>45963.0</v>
      </c>
      <c r="E179" s="6">
        <v>45963.0</v>
      </c>
      <c r="F179" s="1">
        <v>1.0</v>
      </c>
      <c r="G179" s="7">
        <v>65.48</v>
      </c>
      <c r="H179" s="7">
        <v>65.48</v>
      </c>
      <c r="I179" s="1">
        <v>254.0</v>
      </c>
      <c r="J179" s="1" t="s">
        <v>17</v>
      </c>
      <c r="K179" s="1">
        <v>0.0</v>
      </c>
    </row>
    <row r="180">
      <c r="A180" s="1" t="s">
        <v>212</v>
      </c>
      <c r="B180" s="1" t="s">
        <v>36</v>
      </c>
      <c r="C180" s="1" t="s">
        <v>157</v>
      </c>
      <c r="D180" s="6">
        <v>45902.0</v>
      </c>
      <c r="E180" s="6">
        <v>45902.0</v>
      </c>
      <c r="F180" s="1">
        <v>1.0</v>
      </c>
      <c r="G180" s="7">
        <v>71.84</v>
      </c>
      <c r="H180" s="7">
        <v>71.84</v>
      </c>
      <c r="I180" s="1">
        <v>315.0</v>
      </c>
      <c r="J180" s="1" t="s">
        <v>17</v>
      </c>
      <c r="K180" s="1">
        <v>0.0</v>
      </c>
    </row>
    <row r="181">
      <c r="A181" s="1" t="s">
        <v>213</v>
      </c>
      <c r="B181" s="1" t="s">
        <v>19</v>
      </c>
      <c r="C181" s="1" t="s">
        <v>157</v>
      </c>
      <c r="D181" s="6">
        <v>46050.0</v>
      </c>
      <c r="E181" s="6">
        <v>46050.0</v>
      </c>
      <c r="F181" s="1">
        <v>1.0</v>
      </c>
      <c r="G181" s="7">
        <v>64.48</v>
      </c>
      <c r="H181" s="7">
        <v>64.48</v>
      </c>
      <c r="I181" s="1">
        <v>167.0</v>
      </c>
      <c r="J181" s="1" t="s">
        <v>17</v>
      </c>
      <c r="K181" s="1">
        <v>0.0</v>
      </c>
    </row>
    <row r="182">
      <c r="A182" s="1" t="s">
        <v>214</v>
      </c>
      <c r="B182" s="1" t="s">
        <v>36</v>
      </c>
      <c r="C182" s="1" t="s">
        <v>157</v>
      </c>
      <c r="D182" s="6">
        <v>46109.0</v>
      </c>
      <c r="E182" s="6">
        <v>46109.0</v>
      </c>
      <c r="F182" s="1">
        <v>1.0</v>
      </c>
      <c r="G182" s="7">
        <v>46.88</v>
      </c>
      <c r="H182" s="7">
        <v>46.88</v>
      </c>
      <c r="I182" s="1">
        <v>108.0</v>
      </c>
      <c r="J182" s="1" t="s">
        <v>14</v>
      </c>
      <c r="K182" s="1">
        <v>0.0</v>
      </c>
    </row>
    <row r="183">
      <c r="A183" s="1" t="s">
        <v>215</v>
      </c>
      <c r="B183" s="1" t="s">
        <v>12</v>
      </c>
      <c r="C183" s="1" t="s">
        <v>157</v>
      </c>
      <c r="D183" s="6">
        <v>45913.0</v>
      </c>
      <c r="E183" s="6">
        <v>45913.0</v>
      </c>
      <c r="F183" s="1">
        <v>1.0</v>
      </c>
      <c r="G183" s="7">
        <v>59.04</v>
      </c>
      <c r="H183" s="7">
        <v>59.04</v>
      </c>
      <c r="I183" s="1">
        <v>304.0</v>
      </c>
      <c r="J183" s="1" t="s">
        <v>17</v>
      </c>
      <c r="K183" s="1">
        <v>0.0</v>
      </c>
    </row>
    <row r="184">
      <c r="A184" s="1" t="s">
        <v>216</v>
      </c>
      <c r="B184" s="1" t="s">
        <v>24</v>
      </c>
      <c r="C184" s="1" t="s">
        <v>157</v>
      </c>
      <c r="D184" s="6">
        <v>45588.0</v>
      </c>
      <c r="E184" s="6">
        <v>45982.0</v>
      </c>
      <c r="F184" s="1">
        <v>6.0</v>
      </c>
      <c r="G184" s="7">
        <v>529.86</v>
      </c>
      <c r="H184" s="7">
        <v>88.31</v>
      </c>
      <c r="I184" s="1">
        <v>235.0</v>
      </c>
      <c r="J184" s="1" t="s">
        <v>17</v>
      </c>
      <c r="K184" s="1">
        <v>0.0</v>
      </c>
    </row>
    <row r="185">
      <c r="A185" s="1" t="s">
        <v>217</v>
      </c>
      <c r="B185" s="1" t="s">
        <v>96</v>
      </c>
      <c r="C185" s="1" t="s">
        <v>157</v>
      </c>
      <c r="D185" s="6">
        <v>45806.0</v>
      </c>
      <c r="E185" s="6">
        <v>45806.0</v>
      </c>
      <c r="F185" s="1">
        <v>1.0</v>
      </c>
      <c r="G185" s="7">
        <v>107.67</v>
      </c>
      <c r="H185" s="7">
        <v>107.67</v>
      </c>
      <c r="I185" s="1">
        <v>411.0</v>
      </c>
      <c r="J185" s="1" t="s">
        <v>17</v>
      </c>
      <c r="K185" s="1">
        <v>0.0</v>
      </c>
    </row>
    <row r="186">
      <c r="A186" s="1" t="s">
        <v>218</v>
      </c>
      <c r="B186" s="1" t="s">
        <v>75</v>
      </c>
      <c r="C186" s="1" t="s">
        <v>157</v>
      </c>
      <c r="D186" s="6">
        <v>45934.0</v>
      </c>
      <c r="E186" s="6">
        <v>45934.0</v>
      </c>
      <c r="F186" s="1">
        <v>1.0</v>
      </c>
      <c r="G186" s="7">
        <v>71.51</v>
      </c>
      <c r="H186" s="7">
        <v>71.51</v>
      </c>
      <c r="I186" s="1">
        <v>283.0</v>
      </c>
      <c r="J186" s="1" t="s">
        <v>14</v>
      </c>
      <c r="K186" s="1">
        <v>0.0</v>
      </c>
    </row>
    <row r="187">
      <c r="A187" s="1" t="s">
        <v>219</v>
      </c>
      <c r="B187" s="1" t="s">
        <v>34</v>
      </c>
      <c r="C187" s="1" t="s">
        <v>157</v>
      </c>
      <c r="D187" s="6">
        <v>45527.0</v>
      </c>
      <c r="E187" s="6">
        <v>45527.0</v>
      </c>
      <c r="F187" s="1">
        <v>1.0</v>
      </c>
      <c r="G187" s="7">
        <v>83.25</v>
      </c>
      <c r="H187" s="7">
        <v>83.25</v>
      </c>
      <c r="I187" s="1">
        <v>690.0</v>
      </c>
      <c r="J187" s="1" t="s">
        <v>17</v>
      </c>
      <c r="K187" s="1">
        <v>0.0</v>
      </c>
    </row>
    <row r="188">
      <c r="A188" s="1" t="s">
        <v>220</v>
      </c>
      <c r="B188" s="1" t="s">
        <v>36</v>
      </c>
      <c r="C188" s="1" t="s">
        <v>157</v>
      </c>
      <c r="D188" s="6">
        <v>45898.0</v>
      </c>
      <c r="E188" s="6">
        <v>45898.0</v>
      </c>
      <c r="F188" s="1">
        <v>1.0</v>
      </c>
      <c r="G188" s="7">
        <v>76.36</v>
      </c>
      <c r="H188" s="7">
        <v>76.36</v>
      </c>
      <c r="I188" s="1">
        <v>319.0</v>
      </c>
      <c r="J188" s="1" t="s">
        <v>17</v>
      </c>
      <c r="K188" s="1">
        <v>0.0</v>
      </c>
    </row>
    <row r="189">
      <c r="A189" s="1" t="s">
        <v>221</v>
      </c>
      <c r="B189" s="1" t="s">
        <v>12</v>
      </c>
      <c r="C189" s="1" t="s">
        <v>157</v>
      </c>
      <c r="D189" s="6">
        <v>46006.0</v>
      </c>
      <c r="E189" s="6">
        <v>46006.0</v>
      </c>
      <c r="F189" s="1">
        <v>1.0</v>
      </c>
      <c r="G189" s="7">
        <v>43.65</v>
      </c>
      <c r="H189" s="7">
        <v>43.65</v>
      </c>
      <c r="I189" s="1">
        <v>211.0</v>
      </c>
      <c r="J189" s="1" t="s">
        <v>17</v>
      </c>
      <c r="K189" s="1">
        <v>0.0</v>
      </c>
    </row>
    <row r="190">
      <c r="A190" s="1" t="s">
        <v>222</v>
      </c>
      <c r="B190" s="1" t="s">
        <v>22</v>
      </c>
      <c r="C190" s="1" t="s">
        <v>157</v>
      </c>
      <c r="D190" s="6">
        <v>45585.0</v>
      </c>
      <c r="E190" s="6">
        <v>45585.0</v>
      </c>
      <c r="F190" s="1">
        <v>1.0</v>
      </c>
      <c r="G190" s="7">
        <v>125.22</v>
      </c>
      <c r="H190" s="7">
        <v>125.22</v>
      </c>
      <c r="I190" s="1">
        <v>632.0</v>
      </c>
      <c r="J190" s="1" t="s">
        <v>17</v>
      </c>
      <c r="K190" s="1">
        <v>0.0</v>
      </c>
    </row>
    <row r="191">
      <c r="A191" s="1" t="s">
        <v>223</v>
      </c>
      <c r="B191" s="1" t="s">
        <v>29</v>
      </c>
      <c r="C191" s="1" t="s">
        <v>157</v>
      </c>
      <c r="D191" s="6">
        <v>45498.0</v>
      </c>
      <c r="E191" s="6">
        <v>45498.0</v>
      </c>
      <c r="F191" s="1">
        <v>1.0</v>
      </c>
      <c r="G191" s="7">
        <v>69.68</v>
      </c>
      <c r="H191" s="7">
        <v>69.68</v>
      </c>
      <c r="I191" s="1">
        <v>719.0</v>
      </c>
      <c r="J191" s="1" t="s">
        <v>14</v>
      </c>
      <c r="K191" s="1">
        <v>0.0</v>
      </c>
    </row>
    <row r="192">
      <c r="A192" s="1" t="s">
        <v>224</v>
      </c>
      <c r="B192" s="1" t="s">
        <v>22</v>
      </c>
      <c r="C192" s="1" t="s">
        <v>157</v>
      </c>
      <c r="D192" s="6">
        <v>46143.0</v>
      </c>
      <c r="E192" s="6">
        <v>46143.0</v>
      </c>
      <c r="F192" s="1">
        <v>1.0</v>
      </c>
      <c r="G192" s="7">
        <v>81.33</v>
      </c>
      <c r="H192" s="7">
        <v>81.33</v>
      </c>
      <c r="I192" s="1">
        <v>74.0</v>
      </c>
      <c r="J192" s="1" t="s">
        <v>14</v>
      </c>
      <c r="K192" s="1">
        <v>0.0</v>
      </c>
    </row>
    <row r="193">
      <c r="A193" s="1" t="s">
        <v>225</v>
      </c>
      <c r="B193" s="1" t="s">
        <v>36</v>
      </c>
      <c r="C193" s="1" t="s">
        <v>157</v>
      </c>
      <c r="D193" s="6">
        <v>45904.0</v>
      </c>
      <c r="E193" s="6">
        <v>45904.0</v>
      </c>
      <c r="F193" s="1">
        <v>1.0</v>
      </c>
      <c r="G193" s="7">
        <v>53.71</v>
      </c>
      <c r="H193" s="7">
        <v>53.71</v>
      </c>
      <c r="I193" s="1">
        <v>313.0</v>
      </c>
      <c r="J193" s="1" t="s">
        <v>14</v>
      </c>
      <c r="K193" s="1">
        <v>0.0</v>
      </c>
    </row>
    <row r="194">
      <c r="A194" s="1" t="s">
        <v>226</v>
      </c>
      <c r="B194" s="1" t="s">
        <v>75</v>
      </c>
      <c r="C194" s="1" t="s">
        <v>157</v>
      </c>
      <c r="D194" s="6">
        <v>46142.0</v>
      </c>
      <c r="E194" s="6">
        <v>46217.0</v>
      </c>
      <c r="F194" s="1">
        <v>4.0</v>
      </c>
      <c r="G194" s="7">
        <v>533.32</v>
      </c>
      <c r="H194" s="7">
        <v>133.33</v>
      </c>
      <c r="I194" s="1">
        <v>0.0</v>
      </c>
      <c r="J194" s="1" t="s">
        <v>17</v>
      </c>
      <c r="K194" s="1">
        <v>0.0</v>
      </c>
    </row>
    <row r="195">
      <c r="A195" s="1" t="s">
        <v>227</v>
      </c>
      <c r="B195" s="1" t="s">
        <v>19</v>
      </c>
      <c r="C195" s="1" t="s">
        <v>157</v>
      </c>
      <c r="D195" s="6">
        <v>45981.0</v>
      </c>
      <c r="E195" s="6">
        <v>45981.0</v>
      </c>
      <c r="F195" s="1">
        <v>1.0</v>
      </c>
      <c r="G195" s="7">
        <v>72.31</v>
      </c>
      <c r="H195" s="7">
        <v>72.31</v>
      </c>
      <c r="I195" s="1">
        <v>236.0</v>
      </c>
      <c r="J195" s="1" t="s">
        <v>14</v>
      </c>
      <c r="K195" s="1">
        <v>0.0</v>
      </c>
    </row>
    <row r="196">
      <c r="A196" s="1" t="s">
        <v>228</v>
      </c>
      <c r="B196" s="1" t="s">
        <v>31</v>
      </c>
      <c r="C196" s="1" t="s">
        <v>157</v>
      </c>
      <c r="D196" s="6">
        <v>45816.0</v>
      </c>
      <c r="E196" s="6">
        <v>45816.0</v>
      </c>
      <c r="F196" s="1">
        <v>1.0</v>
      </c>
      <c r="G196" s="7">
        <v>83.6</v>
      </c>
      <c r="H196" s="7">
        <v>83.6</v>
      </c>
      <c r="I196" s="1">
        <v>401.0</v>
      </c>
      <c r="J196" s="1" t="s">
        <v>17</v>
      </c>
      <c r="K196" s="1">
        <v>0.0</v>
      </c>
    </row>
    <row r="197">
      <c r="A197" s="1" t="s">
        <v>229</v>
      </c>
      <c r="B197" s="1" t="s">
        <v>19</v>
      </c>
      <c r="C197" s="1" t="s">
        <v>157</v>
      </c>
      <c r="D197" s="6">
        <v>45867.0</v>
      </c>
      <c r="E197" s="6">
        <v>46050.0</v>
      </c>
      <c r="F197" s="1">
        <v>7.0</v>
      </c>
      <c r="G197" s="7">
        <v>581.28</v>
      </c>
      <c r="H197" s="7">
        <v>83.04</v>
      </c>
      <c r="I197" s="1">
        <v>167.0</v>
      </c>
      <c r="J197" s="1" t="s">
        <v>14</v>
      </c>
      <c r="K197" s="1">
        <v>0.0</v>
      </c>
    </row>
    <row r="198">
      <c r="A198" s="1" t="s">
        <v>230</v>
      </c>
      <c r="B198" s="1" t="s">
        <v>12</v>
      </c>
      <c r="C198" s="1" t="s">
        <v>157</v>
      </c>
      <c r="D198" s="6">
        <v>46131.0</v>
      </c>
      <c r="E198" s="6">
        <v>46131.0</v>
      </c>
      <c r="F198" s="1">
        <v>1.0</v>
      </c>
      <c r="G198" s="7">
        <v>66.64</v>
      </c>
      <c r="H198" s="7">
        <v>66.64</v>
      </c>
      <c r="I198" s="1">
        <v>86.0</v>
      </c>
      <c r="J198" s="1" t="s">
        <v>17</v>
      </c>
      <c r="K198" s="1">
        <v>0.0</v>
      </c>
    </row>
    <row r="199">
      <c r="A199" s="1" t="s">
        <v>231</v>
      </c>
      <c r="B199" s="1" t="s">
        <v>27</v>
      </c>
      <c r="C199" s="1" t="s">
        <v>157</v>
      </c>
      <c r="D199" s="6">
        <v>45951.0</v>
      </c>
      <c r="E199" s="6">
        <v>46109.0</v>
      </c>
      <c r="F199" s="1">
        <v>6.0</v>
      </c>
      <c r="G199" s="7">
        <v>361.02</v>
      </c>
      <c r="H199" s="7">
        <v>60.17</v>
      </c>
      <c r="I199" s="1">
        <v>108.0</v>
      </c>
      <c r="J199" s="1" t="s">
        <v>17</v>
      </c>
      <c r="K199" s="1">
        <v>0.0</v>
      </c>
    </row>
    <row r="200">
      <c r="A200" s="1" t="s">
        <v>232</v>
      </c>
      <c r="B200" s="1" t="s">
        <v>29</v>
      </c>
      <c r="C200" s="1" t="s">
        <v>157</v>
      </c>
      <c r="D200" s="6">
        <v>45526.0</v>
      </c>
      <c r="E200" s="6">
        <v>45526.0</v>
      </c>
      <c r="F200" s="1">
        <v>1.0</v>
      </c>
      <c r="G200" s="7">
        <v>67.83</v>
      </c>
      <c r="H200" s="7">
        <v>67.83</v>
      </c>
      <c r="I200" s="1">
        <v>691.0</v>
      </c>
      <c r="J200" s="1" t="s">
        <v>17</v>
      </c>
      <c r="K200" s="1">
        <v>0.0</v>
      </c>
    </row>
    <row r="201">
      <c r="A201" s="1" t="s">
        <v>233</v>
      </c>
      <c r="B201" s="1" t="s">
        <v>75</v>
      </c>
      <c r="C201" s="1" t="s">
        <v>157</v>
      </c>
      <c r="D201" s="6">
        <v>45538.0</v>
      </c>
      <c r="E201" s="6">
        <v>45538.0</v>
      </c>
      <c r="F201" s="1">
        <v>1.0</v>
      </c>
      <c r="G201" s="7">
        <v>59.0</v>
      </c>
      <c r="H201" s="7">
        <v>59.0</v>
      </c>
      <c r="I201" s="1">
        <v>679.0</v>
      </c>
      <c r="J201" s="1" t="s">
        <v>17</v>
      </c>
      <c r="K201" s="1">
        <v>0.0</v>
      </c>
    </row>
    <row r="202">
      <c r="A202" s="1" t="s">
        <v>234</v>
      </c>
      <c r="B202" s="1" t="s">
        <v>22</v>
      </c>
      <c r="C202" s="1" t="s">
        <v>157</v>
      </c>
      <c r="D202" s="6">
        <v>45949.0</v>
      </c>
      <c r="E202" s="6">
        <v>45949.0</v>
      </c>
      <c r="F202" s="1">
        <v>1.0</v>
      </c>
      <c r="G202" s="7">
        <v>86.43</v>
      </c>
      <c r="H202" s="7">
        <v>86.43</v>
      </c>
      <c r="I202" s="1">
        <v>268.0</v>
      </c>
      <c r="J202" s="1" t="s">
        <v>14</v>
      </c>
      <c r="K202" s="1">
        <v>0.0</v>
      </c>
    </row>
    <row r="203">
      <c r="A203" s="1" t="s">
        <v>235</v>
      </c>
      <c r="B203" s="1" t="s">
        <v>96</v>
      </c>
      <c r="C203" s="1" t="s">
        <v>157</v>
      </c>
      <c r="D203" s="6">
        <v>45806.0</v>
      </c>
      <c r="E203" s="6">
        <v>45806.0</v>
      </c>
      <c r="F203" s="1">
        <v>1.0</v>
      </c>
      <c r="G203" s="7">
        <v>83.29</v>
      </c>
      <c r="H203" s="7">
        <v>83.29</v>
      </c>
      <c r="I203" s="1">
        <v>411.0</v>
      </c>
      <c r="J203" s="1" t="s">
        <v>14</v>
      </c>
      <c r="K203" s="1">
        <v>0.0</v>
      </c>
    </row>
    <row r="204">
      <c r="A204" s="1" t="s">
        <v>236</v>
      </c>
      <c r="B204" s="1" t="s">
        <v>34</v>
      </c>
      <c r="C204" s="1" t="s">
        <v>157</v>
      </c>
      <c r="D204" s="6">
        <v>45961.0</v>
      </c>
      <c r="E204" s="6">
        <v>46217.0</v>
      </c>
      <c r="F204" s="1">
        <v>4.0</v>
      </c>
      <c r="G204" s="7">
        <v>496.32</v>
      </c>
      <c r="H204" s="7">
        <v>124.08</v>
      </c>
      <c r="I204" s="1">
        <v>0.0</v>
      </c>
      <c r="J204" s="1" t="s">
        <v>17</v>
      </c>
      <c r="K204" s="1">
        <v>0.0</v>
      </c>
    </row>
    <row r="205">
      <c r="A205" s="1" t="s">
        <v>237</v>
      </c>
      <c r="B205" s="1" t="s">
        <v>27</v>
      </c>
      <c r="C205" s="1" t="s">
        <v>157</v>
      </c>
      <c r="D205" s="6">
        <v>45550.0</v>
      </c>
      <c r="E205" s="6">
        <v>45550.0</v>
      </c>
      <c r="F205" s="1">
        <v>1.0</v>
      </c>
      <c r="G205" s="7">
        <v>73.3</v>
      </c>
      <c r="H205" s="7">
        <v>73.3</v>
      </c>
      <c r="I205" s="1">
        <v>667.0</v>
      </c>
      <c r="J205" s="1" t="s">
        <v>14</v>
      </c>
      <c r="K205" s="1">
        <v>0.0</v>
      </c>
    </row>
    <row r="206">
      <c r="A206" s="1" t="s">
        <v>238</v>
      </c>
      <c r="B206" s="1" t="s">
        <v>75</v>
      </c>
      <c r="C206" s="1" t="s">
        <v>157</v>
      </c>
      <c r="D206" s="6">
        <v>45786.0</v>
      </c>
      <c r="E206" s="6">
        <v>45786.0</v>
      </c>
      <c r="F206" s="1">
        <v>1.0</v>
      </c>
      <c r="G206" s="7">
        <v>80.11</v>
      </c>
      <c r="H206" s="7">
        <v>80.11</v>
      </c>
      <c r="I206" s="1">
        <v>431.0</v>
      </c>
      <c r="J206" s="1" t="s">
        <v>17</v>
      </c>
      <c r="K206" s="1">
        <v>0.0</v>
      </c>
    </row>
    <row r="207">
      <c r="A207" s="1" t="s">
        <v>239</v>
      </c>
      <c r="B207" s="1" t="s">
        <v>22</v>
      </c>
      <c r="C207" s="1" t="s">
        <v>157</v>
      </c>
      <c r="D207" s="6">
        <v>45829.0</v>
      </c>
      <c r="E207" s="6">
        <v>45829.0</v>
      </c>
      <c r="F207" s="1">
        <v>1.0</v>
      </c>
      <c r="G207" s="7">
        <v>78.16</v>
      </c>
      <c r="H207" s="7">
        <v>78.16</v>
      </c>
      <c r="I207" s="1">
        <v>388.0</v>
      </c>
      <c r="J207" s="1" t="s">
        <v>17</v>
      </c>
      <c r="K207" s="1">
        <v>0.0</v>
      </c>
    </row>
    <row r="208">
      <c r="A208" s="1" t="s">
        <v>241</v>
      </c>
      <c r="B208" s="1" t="s">
        <v>29</v>
      </c>
      <c r="C208" s="1" t="s">
        <v>157</v>
      </c>
      <c r="D208" s="6">
        <v>45983.0</v>
      </c>
      <c r="E208" s="6">
        <v>45983.0</v>
      </c>
      <c r="F208" s="1">
        <v>1.0</v>
      </c>
      <c r="G208" s="7">
        <v>82.84</v>
      </c>
      <c r="H208" s="7">
        <v>82.84</v>
      </c>
      <c r="I208" s="1">
        <v>234.0</v>
      </c>
      <c r="J208" s="1" t="s">
        <v>17</v>
      </c>
      <c r="K208" s="1">
        <v>0.0</v>
      </c>
    </row>
    <row r="209">
      <c r="A209" s="1" t="s">
        <v>243</v>
      </c>
      <c r="B209" s="1" t="s">
        <v>34</v>
      </c>
      <c r="C209" s="1" t="s">
        <v>242</v>
      </c>
      <c r="D209" s="6">
        <v>45695.0</v>
      </c>
      <c r="E209" s="6">
        <v>45695.0</v>
      </c>
      <c r="F209" s="1">
        <v>1.0</v>
      </c>
      <c r="G209" s="7">
        <v>121.39</v>
      </c>
      <c r="H209" s="7">
        <v>121.39</v>
      </c>
      <c r="I209" s="1">
        <v>522.0</v>
      </c>
      <c r="J209" s="1" t="s">
        <v>17</v>
      </c>
      <c r="K209" s="1">
        <v>2.0</v>
      </c>
    </row>
    <row r="210">
      <c r="A210" s="1" t="s">
        <v>244</v>
      </c>
      <c r="B210" s="1" t="s">
        <v>19</v>
      </c>
      <c r="C210" s="1" t="s">
        <v>242</v>
      </c>
      <c r="D210" s="6">
        <v>45704.0</v>
      </c>
      <c r="E210" s="6">
        <v>45999.0</v>
      </c>
      <c r="F210" s="1">
        <v>4.0</v>
      </c>
      <c r="G210" s="7">
        <v>516.48</v>
      </c>
      <c r="H210" s="7">
        <v>129.12</v>
      </c>
      <c r="I210" s="1">
        <v>218.0</v>
      </c>
      <c r="J210" s="1" t="s">
        <v>17</v>
      </c>
      <c r="K210" s="1">
        <v>2.0</v>
      </c>
    </row>
    <row r="211">
      <c r="A211" s="1" t="s">
        <v>245</v>
      </c>
      <c r="B211" s="1" t="s">
        <v>12</v>
      </c>
      <c r="C211" s="1" t="s">
        <v>242</v>
      </c>
      <c r="D211" s="6">
        <v>46159.0</v>
      </c>
      <c r="E211" s="6">
        <v>46159.0</v>
      </c>
      <c r="F211" s="1">
        <v>1.0</v>
      </c>
      <c r="G211" s="7">
        <v>152.49</v>
      </c>
      <c r="H211" s="7">
        <v>152.49</v>
      </c>
      <c r="I211" s="1">
        <v>58.0</v>
      </c>
      <c r="J211" s="1" t="s">
        <v>17</v>
      </c>
      <c r="K211" s="1">
        <v>2.0</v>
      </c>
    </row>
    <row r="212">
      <c r="A212" s="1" t="s">
        <v>246</v>
      </c>
      <c r="B212" s="1" t="s">
        <v>36</v>
      </c>
      <c r="C212" s="1" t="s">
        <v>242</v>
      </c>
      <c r="D212" s="6">
        <v>46075.0</v>
      </c>
      <c r="E212" s="6">
        <v>46217.0</v>
      </c>
      <c r="F212" s="1">
        <v>6.0</v>
      </c>
      <c r="G212" s="7">
        <v>387.24</v>
      </c>
      <c r="H212" s="7">
        <v>64.54</v>
      </c>
      <c r="I212" s="1">
        <v>0.0</v>
      </c>
      <c r="J212" s="1" t="s">
        <v>17</v>
      </c>
      <c r="K212" s="1">
        <v>2.0</v>
      </c>
    </row>
    <row r="213">
      <c r="A213" s="1" t="s">
        <v>248</v>
      </c>
      <c r="B213" s="1" t="s">
        <v>31</v>
      </c>
      <c r="C213" s="1" t="s">
        <v>242</v>
      </c>
      <c r="D213" s="6">
        <v>46164.0</v>
      </c>
      <c r="E213" s="6">
        <v>46217.0</v>
      </c>
      <c r="F213" s="1">
        <v>7.0</v>
      </c>
      <c r="G213" s="7">
        <v>616.28</v>
      </c>
      <c r="H213" s="7">
        <v>88.04</v>
      </c>
      <c r="I213" s="1">
        <v>0.0</v>
      </c>
      <c r="J213" s="1" t="s">
        <v>17</v>
      </c>
      <c r="K213" s="1">
        <v>2.0</v>
      </c>
    </row>
    <row r="214">
      <c r="A214" s="1" t="s">
        <v>249</v>
      </c>
      <c r="B214" s="1" t="s">
        <v>22</v>
      </c>
      <c r="C214" s="1" t="s">
        <v>242</v>
      </c>
      <c r="D214" s="6">
        <v>45695.0</v>
      </c>
      <c r="E214" s="6">
        <v>45695.0</v>
      </c>
      <c r="F214" s="1">
        <v>1.0</v>
      </c>
      <c r="G214" s="7">
        <v>94.65</v>
      </c>
      <c r="H214" s="7">
        <v>94.65</v>
      </c>
      <c r="I214" s="1">
        <v>522.0</v>
      </c>
      <c r="J214" s="1" t="s">
        <v>17</v>
      </c>
      <c r="K214" s="1">
        <v>2.0</v>
      </c>
    </row>
    <row r="215">
      <c r="A215" s="1" t="s">
        <v>250</v>
      </c>
      <c r="B215" s="1" t="s">
        <v>22</v>
      </c>
      <c r="C215" s="1" t="s">
        <v>242</v>
      </c>
      <c r="D215" s="6">
        <v>46103.0</v>
      </c>
      <c r="E215" s="6">
        <v>46103.0</v>
      </c>
      <c r="F215" s="1">
        <v>1.0</v>
      </c>
      <c r="G215" s="7">
        <v>133.12</v>
      </c>
      <c r="H215" s="7">
        <v>133.12</v>
      </c>
      <c r="I215" s="1">
        <v>114.0</v>
      </c>
      <c r="J215" s="1" t="s">
        <v>14</v>
      </c>
      <c r="K215" s="1">
        <v>2.0</v>
      </c>
    </row>
    <row r="216">
      <c r="A216" s="1" t="s">
        <v>251</v>
      </c>
      <c r="B216" s="1" t="s">
        <v>27</v>
      </c>
      <c r="C216" s="1" t="s">
        <v>242</v>
      </c>
      <c r="D216" s="6">
        <v>45994.0</v>
      </c>
      <c r="E216" s="6">
        <v>46217.0</v>
      </c>
      <c r="F216" s="1">
        <v>7.0</v>
      </c>
      <c r="G216" s="7">
        <v>571.83</v>
      </c>
      <c r="H216" s="7">
        <v>81.69</v>
      </c>
      <c r="I216" s="1">
        <v>0.0</v>
      </c>
      <c r="J216" s="1" t="s">
        <v>17</v>
      </c>
      <c r="K216" s="1">
        <v>1.0</v>
      </c>
    </row>
    <row r="217">
      <c r="A217" s="1" t="s">
        <v>252</v>
      </c>
      <c r="B217" s="1" t="s">
        <v>19</v>
      </c>
      <c r="C217" s="1" t="s">
        <v>242</v>
      </c>
      <c r="D217" s="6">
        <v>45891.0</v>
      </c>
      <c r="E217" s="6">
        <v>45891.0</v>
      </c>
      <c r="F217" s="1">
        <v>1.0</v>
      </c>
      <c r="G217" s="7">
        <v>161.63</v>
      </c>
      <c r="H217" s="7">
        <v>161.63</v>
      </c>
      <c r="I217" s="1">
        <v>326.0</v>
      </c>
      <c r="J217" s="1" t="s">
        <v>17</v>
      </c>
      <c r="K217" s="1">
        <v>1.0</v>
      </c>
    </row>
    <row r="218">
      <c r="A218" s="1" t="s">
        <v>253</v>
      </c>
      <c r="B218" s="1" t="s">
        <v>29</v>
      </c>
      <c r="C218" s="1" t="s">
        <v>242</v>
      </c>
      <c r="D218" s="6">
        <v>45481.0</v>
      </c>
      <c r="E218" s="6">
        <v>45616.0</v>
      </c>
      <c r="F218" s="1">
        <v>8.0</v>
      </c>
      <c r="G218" s="7">
        <v>1089.28</v>
      </c>
      <c r="H218" s="7">
        <v>136.16</v>
      </c>
      <c r="I218" s="1">
        <v>601.0</v>
      </c>
      <c r="J218" s="1" t="s">
        <v>14</v>
      </c>
      <c r="K218" s="1">
        <v>1.0</v>
      </c>
    </row>
    <row r="219">
      <c r="A219" s="1" t="s">
        <v>254</v>
      </c>
      <c r="B219" s="1" t="s">
        <v>36</v>
      </c>
      <c r="C219" s="1" t="s">
        <v>242</v>
      </c>
      <c r="D219" s="6">
        <v>46047.0</v>
      </c>
      <c r="E219" s="6">
        <v>46047.0</v>
      </c>
      <c r="F219" s="1">
        <v>1.0</v>
      </c>
      <c r="G219" s="7">
        <v>76.41</v>
      </c>
      <c r="H219" s="7">
        <v>76.41</v>
      </c>
      <c r="I219" s="1">
        <v>170.0</v>
      </c>
      <c r="J219" s="1" t="s">
        <v>14</v>
      </c>
      <c r="K219" s="1">
        <v>1.0</v>
      </c>
    </row>
    <row r="220">
      <c r="A220" s="1" t="s">
        <v>255</v>
      </c>
      <c r="B220" s="1" t="s">
        <v>31</v>
      </c>
      <c r="C220" s="1" t="s">
        <v>242</v>
      </c>
      <c r="D220" s="6">
        <v>45946.0</v>
      </c>
      <c r="E220" s="6">
        <v>45946.0</v>
      </c>
      <c r="F220" s="1">
        <v>1.0</v>
      </c>
      <c r="G220" s="7">
        <v>109.3</v>
      </c>
      <c r="H220" s="7">
        <v>109.3</v>
      </c>
      <c r="I220" s="1">
        <v>271.0</v>
      </c>
      <c r="J220" s="1" t="s">
        <v>17</v>
      </c>
      <c r="K220" s="1">
        <v>1.0</v>
      </c>
    </row>
    <row r="221">
      <c r="A221" s="1" t="s">
        <v>256</v>
      </c>
      <c r="B221" s="1" t="s">
        <v>29</v>
      </c>
      <c r="C221" s="1" t="s">
        <v>242</v>
      </c>
      <c r="D221" s="6">
        <v>45991.0</v>
      </c>
      <c r="E221" s="6">
        <v>46217.0</v>
      </c>
      <c r="F221" s="1">
        <v>7.0</v>
      </c>
      <c r="G221" s="7">
        <v>372.61</v>
      </c>
      <c r="H221" s="7">
        <v>53.23</v>
      </c>
      <c r="I221" s="1">
        <v>0.0</v>
      </c>
      <c r="J221" s="1" t="s">
        <v>17</v>
      </c>
      <c r="K221" s="1">
        <v>1.0</v>
      </c>
    </row>
    <row r="222">
      <c r="A222" s="1" t="s">
        <v>257</v>
      </c>
      <c r="B222" s="1" t="s">
        <v>24</v>
      </c>
      <c r="C222" s="1" t="s">
        <v>242</v>
      </c>
      <c r="D222" s="6">
        <v>46089.0</v>
      </c>
      <c r="E222" s="6">
        <v>46217.0</v>
      </c>
      <c r="F222" s="1">
        <v>6.0</v>
      </c>
      <c r="G222" s="7">
        <v>588.78</v>
      </c>
      <c r="H222" s="7">
        <v>98.13</v>
      </c>
      <c r="I222" s="1">
        <v>0.0</v>
      </c>
      <c r="J222" s="1" t="s">
        <v>17</v>
      </c>
      <c r="K222" s="1">
        <v>1.0</v>
      </c>
    </row>
    <row r="223">
      <c r="A223" s="1" t="s">
        <v>258</v>
      </c>
      <c r="B223" s="1" t="s">
        <v>34</v>
      </c>
      <c r="C223" s="1" t="s">
        <v>242</v>
      </c>
      <c r="D223" s="6">
        <v>45951.0</v>
      </c>
      <c r="E223" s="6">
        <v>46217.0</v>
      </c>
      <c r="F223" s="1">
        <v>3.0</v>
      </c>
      <c r="G223" s="7">
        <v>226.26</v>
      </c>
      <c r="H223" s="7">
        <v>75.42</v>
      </c>
      <c r="I223" s="1">
        <v>0.0</v>
      </c>
      <c r="J223" s="1" t="s">
        <v>17</v>
      </c>
      <c r="K223" s="1">
        <v>1.0</v>
      </c>
    </row>
    <row r="224">
      <c r="A224" s="1" t="s">
        <v>259</v>
      </c>
      <c r="B224" s="1" t="s">
        <v>34</v>
      </c>
      <c r="C224" s="1" t="s">
        <v>242</v>
      </c>
      <c r="D224" s="6">
        <v>45623.0</v>
      </c>
      <c r="E224" s="6">
        <v>45623.0</v>
      </c>
      <c r="F224" s="1">
        <v>1.0</v>
      </c>
      <c r="G224" s="7">
        <v>98.38</v>
      </c>
      <c r="H224" s="7">
        <v>98.38</v>
      </c>
      <c r="I224" s="1">
        <v>594.0</v>
      </c>
      <c r="J224" s="1" t="s">
        <v>17</v>
      </c>
      <c r="K224" s="1">
        <v>1.0</v>
      </c>
    </row>
    <row r="225">
      <c r="A225" s="1" t="s">
        <v>260</v>
      </c>
      <c r="B225" s="1" t="s">
        <v>31</v>
      </c>
      <c r="C225" s="1" t="s">
        <v>242</v>
      </c>
      <c r="D225" s="6">
        <v>45578.0</v>
      </c>
      <c r="E225" s="6">
        <v>45578.0</v>
      </c>
      <c r="F225" s="1">
        <v>1.0</v>
      </c>
      <c r="G225" s="7">
        <v>86.41</v>
      </c>
      <c r="H225" s="7">
        <v>86.41</v>
      </c>
      <c r="I225" s="1">
        <v>639.0</v>
      </c>
      <c r="J225" s="1" t="s">
        <v>17</v>
      </c>
      <c r="K225" s="1">
        <v>0.0</v>
      </c>
    </row>
    <row r="226">
      <c r="A226" s="1" t="s">
        <v>261</v>
      </c>
      <c r="B226" s="1" t="s">
        <v>29</v>
      </c>
      <c r="C226" s="1" t="s">
        <v>242</v>
      </c>
      <c r="D226" s="6">
        <v>46038.0</v>
      </c>
      <c r="E226" s="6">
        <v>46038.0</v>
      </c>
      <c r="F226" s="1">
        <v>1.0</v>
      </c>
      <c r="G226" s="7">
        <v>76.25</v>
      </c>
      <c r="H226" s="7">
        <v>76.25</v>
      </c>
      <c r="I226" s="1">
        <v>179.0</v>
      </c>
      <c r="J226" s="1" t="s">
        <v>14</v>
      </c>
      <c r="K226" s="1">
        <v>0.0</v>
      </c>
    </row>
    <row r="227">
      <c r="A227" s="1" t="s">
        <v>262</v>
      </c>
      <c r="B227" s="1" t="s">
        <v>34</v>
      </c>
      <c r="C227" s="1" t="s">
        <v>242</v>
      </c>
      <c r="D227" s="6">
        <v>45540.0</v>
      </c>
      <c r="E227" s="6">
        <v>45540.0</v>
      </c>
      <c r="F227" s="1">
        <v>1.0</v>
      </c>
      <c r="G227" s="7">
        <v>80.28</v>
      </c>
      <c r="H227" s="7">
        <v>80.28</v>
      </c>
      <c r="I227" s="1">
        <v>677.0</v>
      </c>
      <c r="J227" s="1" t="s">
        <v>17</v>
      </c>
      <c r="K227" s="1">
        <v>0.0</v>
      </c>
    </row>
    <row r="228">
      <c r="A228" s="1" t="s">
        <v>263</v>
      </c>
      <c r="B228" s="1" t="s">
        <v>19</v>
      </c>
      <c r="C228" s="1" t="s">
        <v>242</v>
      </c>
      <c r="D228" s="6">
        <v>45525.0</v>
      </c>
      <c r="E228" s="6">
        <v>45629.0</v>
      </c>
      <c r="F228" s="1">
        <v>5.0</v>
      </c>
      <c r="G228" s="7">
        <v>464.05</v>
      </c>
      <c r="H228" s="7">
        <v>92.81</v>
      </c>
      <c r="I228" s="1">
        <v>588.0</v>
      </c>
      <c r="J228" s="1" t="s">
        <v>17</v>
      </c>
      <c r="K228" s="1">
        <v>0.0</v>
      </c>
    </row>
    <row r="229">
      <c r="A229" s="1" t="s">
        <v>264</v>
      </c>
      <c r="B229" s="1" t="s">
        <v>36</v>
      </c>
      <c r="C229" s="1" t="s">
        <v>242</v>
      </c>
      <c r="D229" s="6">
        <v>45543.0</v>
      </c>
      <c r="E229" s="6">
        <v>45543.0</v>
      </c>
      <c r="F229" s="1">
        <v>1.0</v>
      </c>
      <c r="G229" s="7">
        <v>95.78</v>
      </c>
      <c r="H229" s="7">
        <v>95.78</v>
      </c>
      <c r="I229" s="1">
        <v>674.0</v>
      </c>
      <c r="J229" s="1" t="s">
        <v>17</v>
      </c>
      <c r="K229" s="1">
        <v>0.0</v>
      </c>
    </row>
    <row r="230">
      <c r="A230" s="1" t="s">
        <v>265</v>
      </c>
      <c r="B230" s="1" t="s">
        <v>19</v>
      </c>
      <c r="C230" s="1" t="s">
        <v>242</v>
      </c>
      <c r="D230" s="6">
        <v>46084.0</v>
      </c>
      <c r="E230" s="6">
        <v>46217.0</v>
      </c>
      <c r="F230" s="1">
        <v>3.0</v>
      </c>
      <c r="G230" s="7">
        <v>260.04</v>
      </c>
      <c r="H230" s="7">
        <v>86.68</v>
      </c>
      <c r="I230" s="1">
        <v>0.0</v>
      </c>
      <c r="J230" s="1" t="s">
        <v>14</v>
      </c>
      <c r="K230" s="1">
        <v>0.0</v>
      </c>
    </row>
    <row r="231">
      <c r="A231" s="1" t="s">
        <v>266</v>
      </c>
      <c r="B231" s="1" t="s">
        <v>12</v>
      </c>
      <c r="C231" s="1" t="s">
        <v>242</v>
      </c>
      <c r="D231" s="6">
        <v>45923.0</v>
      </c>
      <c r="E231" s="6">
        <v>46217.0</v>
      </c>
      <c r="F231" s="1">
        <v>3.0</v>
      </c>
      <c r="G231" s="7">
        <v>279.63</v>
      </c>
      <c r="H231" s="7">
        <v>93.21</v>
      </c>
      <c r="I231" s="1">
        <v>0.0</v>
      </c>
      <c r="J231" s="1" t="s">
        <v>17</v>
      </c>
      <c r="K231" s="1">
        <v>0.0</v>
      </c>
    </row>
    <row r="232">
      <c r="A232" s="1" t="s">
        <v>267</v>
      </c>
      <c r="B232" s="1" t="s">
        <v>16</v>
      </c>
      <c r="C232" s="1" t="s">
        <v>242</v>
      </c>
      <c r="D232" s="6">
        <v>45510.0</v>
      </c>
      <c r="E232" s="6">
        <v>45778.0</v>
      </c>
      <c r="F232" s="1">
        <v>7.0</v>
      </c>
      <c r="G232" s="7">
        <v>1156.12</v>
      </c>
      <c r="H232" s="7">
        <v>165.16</v>
      </c>
      <c r="I232" s="1">
        <v>439.0</v>
      </c>
      <c r="J232" s="1" t="s">
        <v>17</v>
      </c>
      <c r="K232" s="1">
        <v>0.0</v>
      </c>
    </row>
    <row r="233">
      <c r="A233" s="1" t="s">
        <v>268</v>
      </c>
      <c r="B233" s="1" t="s">
        <v>22</v>
      </c>
      <c r="C233" s="1" t="s">
        <v>242</v>
      </c>
      <c r="D233" s="6">
        <v>45847.0</v>
      </c>
      <c r="E233" s="6">
        <v>46217.0</v>
      </c>
      <c r="F233" s="1">
        <v>7.0</v>
      </c>
      <c r="G233" s="7">
        <v>616.07</v>
      </c>
      <c r="H233" s="7">
        <v>88.01</v>
      </c>
      <c r="I233" s="1">
        <v>0.0</v>
      </c>
      <c r="J233" s="1" t="s">
        <v>17</v>
      </c>
      <c r="K233" s="1">
        <v>0.0</v>
      </c>
    </row>
    <row r="234">
      <c r="A234" s="1" t="s">
        <v>269</v>
      </c>
      <c r="B234" s="1" t="s">
        <v>19</v>
      </c>
      <c r="C234" s="1" t="s">
        <v>242</v>
      </c>
      <c r="D234" s="6">
        <v>46130.0</v>
      </c>
      <c r="E234" s="6">
        <v>46130.0</v>
      </c>
      <c r="F234" s="1">
        <v>1.0</v>
      </c>
      <c r="G234" s="7">
        <v>80.89</v>
      </c>
      <c r="H234" s="7">
        <v>80.89</v>
      </c>
      <c r="I234" s="1">
        <v>87.0</v>
      </c>
      <c r="J234" s="1" t="s">
        <v>14</v>
      </c>
      <c r="K234" s="1">
        <v>0.0</v>
      </c>
    </row>
    <row r="235">
      <c r="A235" s="1" t="s">
        <v>270</v>
      </c>
      <c r="B235" s="1" t="s">
        <v>24</v>
      </c>
      <c r="C235" s="1" t="s">
        <v>242</v>
      </c>
      <c r="D235" s="6">
        <v>45817.0</v>
      </c>
      <c r="E235" s="6">
        <v>45945.0</v>
      </c>
      <c r="F235" s="1">
        <v>3.0</v>
      </c>
      <c r="G235" s="7">
        <v>244.32</v>
      </c>
      <c r="H235" s="7">
        <v>81.44</v>
      </c>
      <c r="I235" s="1">
        <v>272.0</v>
      </c>
      <c r="J235" s="1" t="s">
        <v>17</v>
      </c>
      <c r="K235" s="1">
        <v>0.0</v>
      </c>
    </row>
    <row r="236">
      <c r="A236" s="1" t="s">
        <v>271</v>
      </c>
      <c r="B236" s="1" t="s">
        <v>36</v>
      </c>
      <c r="C236" s="1" t="s">
        <v>242</v>
      </c>
      <c r="D236" s="6">
        <v>45624.0</v>
      </c>
      <c r="E236" s="6">
        <v>45624.0</v>
      </c>
      <c r="F236" s="1">
        <v>1.0</v>
      </c>
      <c r="G236" s="7">
        <v>101.47</v>
      </c>
      <c r="H236" s="7">
        <v>101.47</v>
      </c>
      <c r="I236" s="1">
        <v>593.0</v>
      </c>
      <c r="J236" s="1" t="s">
        <v>17</v>
      </c>
      <c r="K236" s="1">
        <v>0.0</v>
      </c>
    </row>
    <row r="237">
      <c r="A237" s="1" t="s">
        <v>272</v>
      </c>
      <c r="B237" s="1" t="s">
        <v>96</v>
      </c>
      <c r="C237" s="1" t="s">
        <v>242</v>
      </c>
      <c r="D237" s="6">
        <v>46004.0</v>
      </c>
      <c r="E237" s="6">
        <v>46004.0</v>
      </c>
      <c r="F237" s="1">
        <v>1.0</v>
      </c>
      <c r="G237" s="7">
        <v>123.35</v>
      </c>
      <c r="H237" s="7">
        <v>123.35</v>
      </c>
      <c r="I237" s="1">
        <v>213.0</v>
      </c>
      <c r="J237" s="1" t="s">
        <v>14</v>
      </c>
      <c r="K237" s="1">
        <v>0.0</v>
      </c>
    </row>
    <row r="238">
      <c r="A238" s="1" t="s">
        <v>273</v>
      </c>
      <c r="B238" s="1" t="s">
        <v>19</v>
      </c>
      <c r="C238" s="1" t="s">
        <v>242</v>
      </c>
      <c r="D238" s="6">
        <v>45776.0</v>
      </c>
      <c r="E238" s="6">
        <v>45776.0</v>
      </c>
      <c r="F238" s="1">
        <v>1.0</v>
      </c>
      <c r="G238" s="7">
        <v>40.2</v>
      </c>
      <c r="H238" s="7">
        <v>40.2</v>
      </c>
      <c r="I238" s="1">
        <v>441.0</v>
      </c>
      <c r="J238" s="1" t="s">
        <v>17</v>
      </c>
      <c r="K238" s="1">
        <v>0.0</v>
      </c>
    </row>
    <row r="239">
      <c r="A239" s="1" t="s">
        <v>274</v>
      </c>
      <c r="B239" s="1" t="s">
        <v>22</v>
      </c>
      <c r="C239" s="1" t="s">
        <v>242</v>
      </c>
      <c r="D239" s="6">
        <v>45734.0</v>
      </c>
      <c r="E239" s="6">
        <v>45734.0</v>
      </c>
      <c r="F239" s="1">
        <v>1.0</v>
      </c>
      <c r="G239" s="7">
        <v>80.07</v>
      </c>
      <c r="H239" s="7">
        <v>80.07</v>
      </c>
      <c r="I239" s="1">
        <v>483.0</v>
      </c>
      <c r="J239" s="1" t="s">
        <v>14</v>
      </c>
      <c r="K239" s="1">
        <v>0.0</v>
      </c>
    </row>
    <row r="240">
      <c r="A240" s="1" t="s">
        <v>275</v>
      </c>
      <c r="B240" s="1" t="s">
        <v>29</v>
      </c>
      <c r="C240" s="1" t="s">
        <v>242</v>
      </c>
      <c r="D240" s="6">
        <v>46145.0</v>
      </c>
      <c r="E240" s="6">
        <v>46217.0</v>
      </c>
      <c r="F240" s="1">
        <v>6.0</v>
      </c>
      <c r="G240" s="7">
        <v>707.4</v>
      </c>
      <c r="H240" s="7">
        <v>117.9</v>
      </c>
      <c r="I240" s="1">
        <v>0.0</v>
      </c>
      <c r="J240" s="1" t="s">
        <v>17</v>
      </c>
      <c r="K240" s="1">
        <v>0.0</v>
      </c>
    </row>
    <row r="241">
      <c r="A241" s="1" t="s">
        <v>276</v>
      </c>
      <c r="B241" s="1" t="s">
        <v>24</v>
      </c>
      <c r="C241" s="1" t="s">
        <v>242</v>
      </c>
      <c r="D241" s="6">
        <v>46027.0</v>
      </c>
      <c r="E241" s="6">
        <v>46027.0</v>
      </c>
      <c r="F241" s="1">
        <v>1.0</v>
      </c>
      <c r="G241" s="7">
        <v>92.63</v>
      </c>
      <c r="H241" s="7">
        <v>92.63</v>
      </c>
      <c r="I241" s="1">
        <v>190.0</v>
      </c>
      <c r="J241" s="1" t="s">
        <v>17</v>
      </c>
      <c r="K241" s="1">
        <v>0.0</v>
      </c>
    </row>
    <row r="242">
      <c r="A242" s="1" t="s">
        <v>277</v>
      </c>
      <c r="B242" s="1" t="s">
        <v>16</v>
      </c>
      <c r="C242" s="1" t="s">
        <v>242</v>
      </c>
      <c r="D242" s="6">
        <v>46073.0</v>
      </c>
      <c r="E242" s="6">
        <v>46122.0</v>
      </c>
      <c r="F242" s="1">
        <v>7.0</v>
      </c>
      <c r="G242" s="7">
        <v>1047.48</v>
      </c>
      <c r="H242" s="7">
        <v>149.64</v>
      </c>
      <c r="I242" s="1">
        <v>95.0</v>
      </c>
      <c r="J242" s="1" t="s">
        <v>17</v>
      </c>
      <c r="K242" s="1">
        <v>0.0</v>
      </c>
    </row>
    <row r="243">
      <c r="A243" s="1" t="s">
        <v>278</v>
      </c>
      <c r="B243" s="1" t="s">
        <v>96</v>
      </c>
      <c r="C243" s="1" t="s">
        <v>247</v>
      </c>
      <c r="D243" s="6">
        <v>45682.0</v>
      </c>
      <c r="E243" s="6">
        <v>46217.0</v>
      </c>
      <c r="F243" s="1">
        <v>5.0</v>
      </c>
      <c r="G243" s="7">
        <v>436.55</v>
      </c>
      <c r="H243" s="7">
        <v>87.31</v>
      </c>
      <c r="I243" s="1">
        <v>0.0</v>
      </c>
      <c r="J243" s="1" t="s">
        <v>14</v>
      </c>
      <c r="K243" s="1">
        <v>2.0</v>
      </c>
    </row>
    <row r="244">
      <c r="A244" s="1" t="s">
        <v>279</v>
      </c>
      <c r="B244" s="1" t="s">
        <v>16</v>
      </c>
      <c r="C244" s="1" t="s">
        <v>247</v>
      </c>
      <c r="D244" s="6">
        <v>45656.0</v>
      </c>
      <c r="E244" s="6">
        <v>46021.0</v>
      </c>
      <c r="F244" s="1">
        <v>5.0</v>
      </c>
      <c r="G244" s="7">
        <v>472.45</v>
      </c>
      <c r="H244" s="7">
        <v>94.49</v>
      </c>
      <c r="I244" s="1">
        <v>196.0</v>
      </c>
      <c r="J244" s="1" t="s">
        <v>17</v>
      </c>
      <c r="K244" s="1">
        <v>1.0</v>
      </c>
    </row>
    <row r="245">
      <c r="A245" s="1" t="s">
        <v>280</v>
      </c>
      <c r="B245" s="1" t="s">
        <v>24</v>
      </c>
      <c r="C245" s="1" t="s">
        <v>247</v>
      </c>
      <c r="D245" s="6">
        <v>45963.0</v>
      </c>
      <c r="E245" s="6">
        <v>45963.0</v>
      </c>
      <c r="F245" s="1">
        <v>1.0</v>
      </c>
      <c r="G245" s="7">
        <v>71.1</v>
      </c>
      <c r="H245" s="7">
        <v>71.1</v>
      </c>
      <c r="I245" s="1">
        <v>254.0</v>
      </c>
      <c r="J245" s="1" t="s">
        <v>14</v>
      </c>
      <c r="K245" s="1">
        <v>1.0</v>
      </c>
    </row>
    <row r="246">
      <c r="A246" s="1" t="s">
        <v>281</v>
      </c>
      <c r="B246" s="1" t="s">
        <v>75</v>
      </c>
      <c r="C246" s="1" t="s">
        <v>247</v>
      </c>
      <c r="D246" s="6">
        <v>45485.0</v>
      </c>
      <c r="E246" s="6">
        <v>45556.0</v>
      </c>
      <c r="F246" s="1">
        <v>6.0</v>
      </c>
      <c r="G246" s="7">
        <v>827.88</v>
      </c>
      <c r="H246" s="7">
        <v>137.98</v>
      </c>
      <c r="I246" s="1">
        <v>661.0</v>
      </c>
      <c r="J246" s="1" t="s">
        <v>17</v>
      </c>
      <c r="K246" s="1">
        <v>1.0</v>
      </c>
    </row>
    <row r="247">
      <c r="A247" s="1" t="s">
        <v>282</v>
      </c>
      <c r="B247" s="1" t="s">
        <v>16</v>
      </c>
      <c r="C247" s="1" t="s">
        <v>247</v>
      </c>
      <c r="D247" s="6">
        <v>45856.0</v>
      </c>
      <c r="E247" s="6">
        <v>45856.0</v>
      </c>
      <c r="F247" s="1">
        <v>1.0</v>
      </c>
      <c r="G247" s="7">
        <v>117.92</v>
      </c>
      <c r="H247" s="7">
        <v>117.92</v>
      </c>
      <c r="I247" s="1">
        <v>361.0</v>
      </c>
      <c r="J247" s="1" t="s">
        <v>14</v>
      </c>
      <c r="K247" s="1">
        <v>1.0</v>
      </c>
    </row>
    <row r="248">
      <c r="A248" s="1" t="s">
        <v>283</v>
      </c>
      <c r="B248" s="1" t="s">
        <v>27</v>
      </c>
      <c r="C248" s="1" t="s">
        <v>247</v>
      </c>
      <c r="D248" s="6">
        <v>46105.0</v>
      </c>
      <c r="E248" s="6">
        <v>46217.0</v>
      </c>
      <c r="F248" s="1">
        <v>7.0</v>
      </c>
      <c r="G248" s="7">
        <v>674.17</v>
      </c>
      <c r="H248" s="7">
        <v>96.31</v>
      </c>
      <c r="I248" s="1">
        <v>0.0</v>
      </c>
      <c r="J248" s="1" t="s">
        <v>17</v>
      </c>
      <c r="K248" s="1">
        <v>1.0</v>
      </c>
    </row>
    <row r="249">
      <c r="A249" s="1" t="s">
        <v>284</v>
      </c>
      <c r="B249" s="1" t="s">
        <v>75</v>
      </c>
      <c r="C249" s="1" t="s">
        <v>247</v>
      </c>
      <c r="D249" s="6">
        <v>46127.0</v>
      </c>
      <c r="E249" s="6">
        <v>46127.0</v>
      </c>
      <c r="F249" s="1">
        <v>1.0</v>
      </c>
      <c r="G249" s="7">
        <v>61.38</v>
      </c>
      <c r="H249" s="7">
        <v>61.38</v>
      </c>
      <c r="I249" s="1">
        <v>90.0</v>
      </c>
      <c r="J249" s="1" t="s">
        <v>17</v>
      </c>
      <c r="K249" s="1">
        <v>0.0</v>
      </c>
    </row>
    <row r="250">
      <c r="A250" s="1" t="s">
        <v>285</v>
      </c>
      <c r="B250" s="1" t="s">
        <v>12</v>
      </c>
      <c r="C250" s="1" t="s">
        <v>247</v>
      </c>
      <c r="D250" s="6">
        <v>46105.0</v>
      </c>
      <c r="E250" s="6">
        <v>46105.0</v>
      </c>
      <c r="F250" s="1">
        <v>1.0</v>
      </c>
      <c r="G250" s="7">
        <v>62.94</v>
      </c>
      <c r="H250" s="7">
        <v>62.94</v>
      </c>
      <c r="I250" s="1">
        <v>112.0</v>
      </c>
      <c r="J250" s="1" t="s">
        <v>17</v>
      </c>
      <c r="K250" s="1">
        <v>0.0</v>
      </c>
    </row>
    <row r="251">
      <c r="A251" s="1" t="s">
        <v>286</v>
      </c>
      <c r="B251" s="1" t="s">
        <v>96</v>
      </c>
      <c r="C251" s="1" t="s">
        <v>247</v>
      </c>
      <c r="D251" s="6">
        <v>45625.0</v>
      </c>
      <c r="E251" s="6">
        <v>45625.0</v>
      </c>
      <c r="F251" s="1">
        <v>1.0</v>
      </c>
      <c r="G251" s="7">
        <v>102.04</v>
      </c>
      <c r="H251" s="7">
        <v>102.04</v>
      </c>
      <c r="I251" s="1">
        <v>592.0</v>
      </c>
      <c r="J251" s="1" t="s">
        <v>17</v>
      </c>
      <c r="K251" s="1">
        <v>0.0</v>
      </c>
    </row>
    <row r="252">
      <c r="A252" s="1" t="s">
        <v>287</v>
      </c>
      <c r="B252" s="1" t="s">
        <v>16</v>
      </c>
      <c r="C252" s="1" t="s">
        <v>247</v>
      </c>
      <c r="D252" s="6">
        <v>45491.0</v>
      </c>
      <c r="E252" s="6">
        <v>45896.0</v>
      </c>
      <c r="F252" s="1">
        <v>3.0</v>
      </c>
      <c r="G252" s="7">
        <v>466.02</v>
      </c>
      <c r="H252" s="7">
        <v>155.34</v>
      </c>
      <c r="I252" s="1">
        <v>321.0</v>
      </c>
      <c r="J252" s="1" t="s">
        <v>14</v>
      </c>
      <c r="K252" s="1">
        <v>0.0</v>
      </c>
    </row>
    <row r="253">
      <c r="A253" s="1" t="s">
        <v>288</v>
      </c>
      <c r="B253" s="1" t="s">
        <v>24</v>
      </c>
      <c r="C253" s="1" t="s">
        <v>247</v>
      </c>
      <c r="D253" s="6">
        <v>46116.0</v>
      </c>
      <c r="E253" s="6">
        <v>46217.0</v>
      </c>
      <c r="F253" s="1">
        <v>7.0</v>
      </c>
      <c r="G253" s="7">
        <v>611.94</v>
      </c>
      <c r="H253" s="7">
        <v>87.42</v>
      </c>
      <c r="I253" s="1">
        <v>0.0</v>
      </c>
      <c r="J253" s="1" t="s">
        <v>17</v>
      </c>
      <c r="K253" s="1">
        <v>0.0</v>
      </c>
    </row>
    <row r="254">
      <c r="A254" s="1" t="s">
        <v>289</v>
      </c>
      <c r="B254" s="1" t="s">
        <v>16</v>
      </c>
      <c r="C254" s="1" t="s">
        <v>247</v>
      </c>
      <c r="D254" s="6">
        <v>46043.0</v>
      </c>
      <c r="E254" s="6">
        <v>46215.0</v>
      </c>
      <c r="F254" s="1">
        <v>8.0</v>
      </c>
      <c r="G254" s="7">
        <v>633.68</v>
      </c>
      <c r="H254" s="7">
        <v>79.21</v>
      </c>
      <c r="I254" s="1">
        <v>2.0</v>
      </c>
      <c r="J254" s="1" t="s">
        <v>17</v>
      </c>
      <c r="K254" s="1">
        <v>0.0</v>
      </c>
    </row>
    <row r="255">
      <c r="A255" s="1" t="s">
        <v>290</v>
      </c>
      <c r="B255" s="1" t="s">
        <v>27</v>
      </c>
      <c r="C255" s="1" t="s">
        <v>247</v>
      </c>
      <c r="D255" s="6">
        <v>45805.0</v>
      </c>
      <c r="E255" s="6">
        <v>45805.0</v>
      </c>
      <c r="F255" s="1">
        <v>1.0</v>
      </c>
      <c r="G255" s="7">
        <v>149.21</v>
      </c>
      <c r="H255" s="7">
        <v>149.21</v>
      </c>
      <c r="I255" s="1">
        <v>412.0</v>
      </c>
      <c r="J255" s="1" t="s">
        <v>17</v>
      </c>
      <c r="K255" s="1">
        <v>0.0</v>
      </c>
    </row>
    <row r="256">
      <c r="A256" s="1" t="s">
        <v>291</v>
      </c>
      <c r="B256" s="1" t="s">
        <v>16</v>
      </c>
      <c r="C256" s="1" t="s">
        <v>247</v>
      </c>
      <c r="D256" s="6">
        <v>45778.0</v>
      </c>
      <c r="E256" s="6">
        <v>45778.0</v>
      </c>
      <c r="F256" s="1">
        <v>1.0</v>
      </c>
      <c r="G256" s="7">
        <v>50.95</v>
      </c>
      <c r="H256" s="7">
        <v>50.95</v>
      </c>
      <c r="I256" s="1">
        <v>439.0</v>
      </c>
      <c r="J256" s="1" t="s">
        <v>17</v>
      </c>
      <c r="K256" s="1">
        <v>0.0</v>
      </c>
    </row>
    <row r="257">
      <c r="A257" s="1" t="s">
        <v>292</v>
      </c>
      <c r="B257" s="1" t="s">
        <v>16</v>
      </c>
      <c r="C257" s="1" t="s">
        <v>247</v>
      </c>
      <c r="D257" s="6">
        <v>45950.0</v>
      </c>
      <c r="E257" s="6">
        <v>45950.0</v>
      </c>
      <c r="F257" s="1">
        <v>1.0</v>
      </c>
      <c r="G257" s="7">
        <v>154.72</v>
      </c>
      <c r="H257" s="7">
        <v>154.72</v>
      </c>
      <c r="I257" s="1">
        <v>267.0</v>
      </c>
      <c r="J257" s="1" t="s">
        <v>17</v>
      </c>
      <c r="K257" s="1">
        <v>0.0</v>
      </c>
    </row>
    <row r="258">
      <c r="A258" s="1" t="s">
        <v>293</v>
      </c>
      <c r="B258" s="1" t="s">
        <v>36</v>
      </c>
      <c r="C258" s="1" t="s">
        <v>247</v>
      </c>
      <c r="D258" s="6">
        <v>45758.0</v>
      </c>
      <c r="E258" s="6">
        <v>45758.0</v>
      </c>
      <c r="F258" s="1">
        <v>1.0</v>
      </c>
      <c r="G258" s="7">
        <v>71.6</v>
      </c>
      <c r="H258" s="7">
        <v>71.6</v>
      </c>
      <c r="I258" s="1">
        <v>459.0</v>
      </c>
      <c r="J258" s="1" t="s">
        <v>17</v>
      </c>
      <c r="K258" s="1">
        <v>0.0</v>
      </c>
    </row>
    <row r="259">
      <c r="A259" s="1" t="s">
        <v>294</v>
      </c>
      <c r="B259" s="1" t="s">
        <v>34</v>
      </c>
      <c r="C259" s="1" t="s">
        <v>247</v>
      </c>
      <c r="D259" s="6">
        <v>45898.0</v>
      </c>
      <c r="E259" s="6">
        <v>46144.0</v>
      </c>
      <c r="F259" s="1">
        <v>6.0</v>
      </c>
      <c r="G259" s="7">
        <v>399.54</v>
      </c>
      <c r="H259" s="7">
        <v>66.59</v>
      </c>
      <c r="I259" s="1">
        <v>73.0</v>
      </c>
      <c r="J259" s="1" t="s">
        <v>17</v>
      </c>
      <c r="K259" s="1">
        <v>0.0</v>
      </c>
    </row>
    <row r="260">
      <c r="A260" s="1" t="s">
        <v>295</v>
      </c>
      <c r="B260" s="1" t="s">
        <v>24</v>
      </c>
      <c r="C260" s="1" t="s">
        <v>247</v>
      </c>
      <c r="D260" s="6">
        <v>46039.0</v>
      </c>
      <c r="E260" s="6">
        <v>46217.0</v>
      </c>
      <c r="F260" s="1">
        <v>3.0</v>
      </c>
      <c r="G260" s="7">
        <v>438.42</v>
      </c>
      <c r="H260" s="7">
        <v>146.14</v>
      </c>
      <c r="I260" s="1">
        <v>0.0</v>
      </c>
      <c r="J260" s="1" t="s">
        <v>17</v>
      </c>
      <c r="K260" s="1">
        <v>0.0</v>
      </c>
    </row>
    <row r="261">
      <c r="A261" s="1" t="s">
        <v>296</v>
      </c>
      <c r="B261" s="1" t="s">
        <v>27</v>
      </c>
      <c r="C261" s="1" t="s">
        <v>247</v>
      </c>
      <c r="D261" s="6">
        <v>45610.0</v>
      </c>
      <c r="E261" s="6">
        <v>45610.0</v>
      </c>
      <c r="F261" s="1">
        <v>1.0</v>
      </c>
      <c r="G261" s="7">
        <v>94.38</v>
      </c>
      <c r="H261" s="7">
        <v>94.38</v>
      </c>
      <c r="I261" s="1">
        <v>607.0</v>
      </c>
      <c r="J261" s="1" t="s">
        <v>17</v>
      </c>
      <c r="K261" s="1">
        <v>0.0</v>
      </c>
    </row>
    <row r="262">
      <c r="A262" s="1" t="s">
        <v>297</v>
      </c>
      <c r="B262" s="1" t="s">
        <v>34</v>
      </c>
      <c r="C262" s="1" t="s">
        <v>247</v>
      </c>
      <c r="D262" s="6">
        <v>45931.0</v>
      </c>
      <c r="E262" s="6">
        <v>46217.0</v>
      </c>
      <c r="F262" s="1">
        <v>4.0</v>
      </c>
      <c r="G262" s="7">
        <v>253.56</v>
      </c>
      <c r="H262" s="7">
        <v>63.39</v>
      </c>
      <c r="I262" s="1">
        <v>0.0</v>
      </c>
      <c r="J262" s="1" t="s">
        <v>17</v>
      </c>
      <c r="K262" s="1">
        <v>0.0</v>
      </c>
    </row>
    <row r="263">
      <c r="A263" s="1" t="s">
        <v>298</v>
      </c>
      <c r="B263" s="1" t="s">
        <v>34</v>
      </c>
      <c r="C263" s="1" t="s">
        <v>247</v>
      </c>
      <c r="D263" s="6">
        <v>46091.0</v>
      </c>
      <c r="E263" s="6">
        <v>46217.0</v>
      </c>
      <c r="F263" s="1">
        <v>3.0</v>
      </c>
      <c r="G263" s="7">
        <v>542.22</v>
      </c>
      <c r="H263" s="7">
        <v>180.74</v>
      </c>
      <c r="I263" s="1">
        <v>0.0</v>
      </c>
      <c r="J263" s="1" t="s">
        <v>17</v>
      </c>
      <c r="K263" s="1">
        <v>0.0</v>
      </c>
    </row>
    <row r="264">
      <c r="A264" s="1" t="s">
        <v>299</v>
      </c>
      <c r="B264" s="1" t="s">
        <v>16</v>
      </c>
      <c r="C264" s="1" t="s">
        <v>247</v>
      </c>
      <c r="D264" s="6">
        <v>45828.0</v>
      </c>
      <c r="E264" s="6">
        <v>46086.0</v>
      </c>
      <c r="F264" s="1">
        <v>7.0</v>
      </c>
      <c r="G264" s="7">
        <v>740.39</v>
      </c>
      <c r="H264" s="7">
        <v>105.77</v>
      </c>
      <c r="I264" s="1">
        <v>131.0</v>
      </c>
      <c r="J264" s="1" t="s">
        <v>17</v>
      </c>
      <c r="K264" s="1">
        <v>0.0</v>
      </c>
    </row>
    <row r="265">
      <c r="A265" s="1" t="s">
        <v>300</v>
      </c>
      <c r="B265" s="1" t="s">
        <v>27</v>
      </c>
      <c r="C265" s="1" t="s">
        <v>240</v>
      </c>
      <c r="D265" s="6">
        <v>46032.0</v>
      </c>
      <c r="E265" s="6">
        <v>46032.0</v>
      </c>
      <c r="F265" s="1">
        <v>1.0</v>
      </c>
      <c r="G265" s="7">
        <v>132.09</v>
      </c>
      <c r="H265" s="7">
        <v>132.09</v>
      </c>
      <c r="I265" s="1">
        <v>185.0</v>
      </c>
      <c r="J265" s="1" t="s">
        <v>14</v>
      </c>
      <c r="K265" s="1">
        <v>2.0</v>
      </c>
    </row>
    <row r="266">
      <c r="A266" s="1" t="s">
        <v>301</v>
      </c>
      <c r="B266" s="1" t="s">
        <v>96</v>
      </c>
      <c r="C266" s="1" t="s">
        <v>240</v>
      </c>
      <c r="D266" s="6">
        <v>45707.0</v>
      </c>
      <c r="E266" s="6">
        <v>45707.0</v>
      </c>
      <c r="F266" s="1">
        <v>1.0</v>
      </c>
      <c r="G266" s="7">
        <v>132.7</v>
      </c>
      <c r="H266" s="7">
        <v>132.7</v>
      </c>
      <c r="I266" s="1">
        <v>510.0</v>
      </c>
      <c r="J266" s="1" t="s">
        <v>17</v>
      </c>
      <c r="K266" s="1">
        <v>2.0</v>
      </c>
    </row>
    <row r="267">
      <c r="A267" s="1" t="s">
        <v>302</v>
      </c>
      <c r="B267" s="1" t="s">
        <v>27</v>
      </c>
      <c r="C267" s="1" t="s">
        <v>240</v>
      </c>
      <c r="D267" s="6">
        <v>46136.0</v>
      </c>
      <c r="E267" s="6">
        <v>46217.0</v>
      </c>
      <c r="F267" s="1">
        <v>2.0</v>
      </c>
      <c r="G267" s="7">
        <v>166.04</v>
      </c>
      <c r="H267" s="7">
        <v>83.02</v>
      </c>
      <c r="I267" s="1">
        <v>0.0</v>
      </c>
      <c r="J267" s="1" t="s">
        <v>14</v>
      </c>
      <c r="K267" s="1">
        <v>2.0</v>
      </c>
    </row>
    <row r="268">
      <c r="A268" s="1" t="s">
        <v>303</v>
      </c>
      <c r="B268" s="1" t="s">
        <v>19</v>
      </c>
      <c r="C268" s="1" t="s">
        <v>240</v>
      </c>
      <c r="D268" s="6">
        <v>45560.0</v>
      </c>
      <c r="E268" s="6">
        <v>45560.0</v>
      </c>
      <c r="F268" s="1">
        <v>1.0</v>
      </c>
      <c r="G268" s="7">
        <v>56.06</v>
      </c>
      <c r="H268" s="7">
        <v>56.06</v>
      </c>
      <c r="I268" s="1">
        <v>657.0</v>
      </c>
      <c r="J268" s="1" t="s">
        <v>17</v>
      </c>
      <c r="K268" s="1">
        <v>2.0</v>
      </c>
    </row>
    <row r="269">
      <c r="A269" s="1" t="s">
        <v>304</v>
      </c>
      <c r="B269" s="1" t="s">
        <v>29</v>
      </c>
      <c r="C269" s="1" t="s">
        <v>240</v>
      </c>
      <c r="D269" s="6">
        <v>45739.0</v>
      </c>
      <c r="E269" s="6">
        <v>46217.0</v>
      </c>
      <c r="F269" s="1">
        <v>2.0</v>
      </c>
      <c r="G269" s="7">
        <v>225.52</v>
      </c>
      <c r="H269" s="7">
        <v>112.76</v>
      </c>
      <c r="I269" s="1">
        <v>0.0</v>
      </c>
      <c r="J269" s="1" t="s">
        <v>17</v>
      </c>
      <c r="K269" s="1">
        <v>2.0</v>
      </c>
    </row>
    <row r="270">
      <c r="A270" s="1" t="s">
        <v>305</v>
      </c>
      <c r="B270" s="1" t="s">
        <v>27</v>
      </c>
      <c r="C270" s="1" t="s">
        <v>240</v>
      </c>
      <c r="D270" s="6">
        <v>46018.0</v>
      </c>
      <c r="E270" s="6">
        <v>46018.0</v>
      </c>
      <c r="F270" s="1">
        <v>1.0</v>
      </c>
      <c r="G270" s="7">
        <v>71.31</v>
      </c>
      <c r="H270" s="7">
        <v>71.31</v>
      </c>
      <c r="I270" s="1">
        <v>199.0</v>
      </c>
      <c r="J270" s="1" t="s">
        <v>17</v>
      </c>
      <c r="K270" s="1">
        <v>1.0</v>
      </c>
    </row>
    <row r="271">
      <c r="A271" s="1" t="s">
        <v>306</v>
      </c>
      <c r="B271" s="1" t="s">
        <v>19</v>
      </c>
      <c r="C271" s="1" t="s">
        <v>240</v>
      </c>
      <c r="D271" s="6">
        <v>45534.0</v>
      </c>
      <c r="E271" s="6">
        <v>45534.0</v>
      </c>
      <c r="F271" s="1">
        <v>1.0</v>
      </c>
      <c r="G271" s="7">
        <v>61.2</v>
      </c>
      <c r="H271" s="7">
        <v>61.2</v>
      </c>
      <c r="I271" s="1">
        <v>683.0</v>
      </c>
      <c r="J271" s="1" t="s">
        <v>17</v>
      </c>
      <c r="K271" s="1">
        <v>1.0</v>
      </c>
    </row>
    <row r="272">
      <c r="A272" s="1" t="s">
        <v>307</v>
      </c>
      <c r="B272" s="1" t="s">
        <v>96</v>
      </c>
      <c r="C272" s="1" t="s">
        <v>240</v>
      </c>
      <c r="D272" s="6">
        <v>45602.0</v>
      </c>
      <c r="E272" s="6">
        <v>45602.0</v>
      </c>
      <c r="F272" s="1">
        <v>1.0</v>
      </c>
      <c r="G272" s="7">
        <v>55.35</v>
      </c>
      <c r="H272" s="7">
        <v>55.35</v>
      </c>
      <c r="I272" s="1">
        <v>615.0</v>
      </c>
      <c r="J272" s="1" t="s">
        <v>17</v>
      </c>
      <c r="K272" s="1">
        <v>1.0</v>
      </c>
    </row>
    <row r="273">
      <c r="A273" s="1" t="s">
        <v>308</v>
      </c>
      <c r="B273" s="1" t="s">
        <v>12</v>
      </c>
      <c r="C273" s="1" t="s">
        <v>240</v>
      </c>
      <c r="D273" s="6">
        <v>45693.0</v>
      </c>
      <c r="E273" s="6">
        <v>45693.0</v>
      </c>
      <c r="F273" s="1">
        <v>1.0</v>
      </c>
      <c r="G273" s="7">
        <v>126.68</v>
      </c>
      <c r="H273" s="7">
        <v>126.68</v>
      </c>
      <c r="I273" s="1">
        <v>524.0</v>
      </c>
      <c r="J273" s="1" t="s">
        <v>17</v>
      </c>
      <c r="K273" s="1">
        <v>1.0</v>
      </c>
    </row>
    <row r="274">
      <c r="A274" s="1" t="s">
        <v>309</v>
      </c>
      <c r="B274" s="1" t="s">
        <v>16</v>
      </c>
      <c r="C274" s="1" t="s">
        <v>240</v>
      </c>
      <c r="D274" s="6">
        <v>46118.0</v>
      </c>
      <c r="E274" s="6">
        <v>46217.0</v>
      </c>
      <c r="F274" s="1">
        <v>8.0</v>
      </c>
      <c r="G274" s="7">
        <v>1109.44</v>
      </c>
      <c r="H274" s="7">
        <v>138.68</v>
      </c>
      <c r="I274" s="1">
        <v>0.0</v>
      </c>
      <c r="J274" s="1" t="s">
        <v>17</v>
      </c>
      <c r="K274" s="1">
        <v>0.0</v>
      </c>
    </row>
    <row r="275">
      <c r="A275" s="1" t="s">
        <v>310</v>
      </c>
      <c r="B275" s="1" t="s">
        <v>27</v>
      </c>
      <c r="C275" s="1" t="s">
        <v>240</v>
      </c>
      <c r="D275" s="6">
        <v>45839.0</v>
      </c>
      <c r="E275" s="6">
        <v>45839.0</v>
      </c>
      <c r="F275" s="1">
        <v>1.0</v>
      </c>
      <c r="G275" s="7">
        <v>103.08</v>
      </c>
      <c r="H275" s="7">
        <v>103.08</v>
      </c>
      <c r="I275" s="1">
        <v>378.0</v>
      </c>
      <c r="J275" s="1" t="s">
        <v>17</v>
      </c>
      <c r="K275" s="1">
        <v>0.0</v>
      </c>
    </row>
    <row r="276">
      <c r="A276" s="1" t="s">
        <v>311</v>
      </c>
      <c r="B276" s="1" t="s">
        <v>16</v>
      </c>
      <c r="C276" s="1" t="s">
        <v>240</v>
      </c>
      <c r="D276" s="6">
        <v>46082.0</v>
      </c>
      <c r="E276" s="6">
        <v>46082.0</v>
      </c>
      <c r="F276" s="1">
        <v>1.0</v>
      </c>
      <c r="G276" s="7">
        <v>80.78</v>
      </c>
      <c r="H276" s="7">
        <v>80.78</v>
      </c>
      <c r="I276" s="1">
        <v>135.0</v>
      </c>
      <c r="J276" s="1" t="s">
        <v>17</v>
      </c>
      <c r="K276" s="1">
        <v>0.0</v>
      </c>
    </row>
    <row r="277">
      <c r="A277" s="1" t="s">
        <v>312</v>
      </c>
      <c r="B277" s="1" t="s">
        <v>22</v>
      </c>
      <c r="C277" s="1" t="s">
        <v>240</v>
      </c>
      <c r="D277" s="6">
        <v>45487.0</v>
      </c>
      <c r="E277" s="6">
        <v>45649.0</v>
      </c>
      <c r="F277" s="1">
        <v>5.0</v>
      </c>
      <c r="G277" s="7">
        <v>221.9</v>
      </c>
      <c r="H277" s="7">
        <v>44.38</v>
      </c>
      <c r="I277" s="1">
        <v>568.0</v>
      </c>
      <c r="J277" s="1" t="s">
        <v>17</v>
      </c>
      <c r="K277" s="1">
        <v>0.0</v>
      </c>
    </row>
    <row r="278">
      <c r="A278" s="1" t="s">
        <v>313</v>
      </c>
      <c r="B278" s="1" t="s">
        <v>27</v>
      </c>
      <c r="C278" s="1" t="s">
        <v>240</v>
      </c>
      <c r="D278" s="6">
        <v>46086.0</v>
      </c>
      <c r="E278" s="6">
        <v>46086.0</v>
      </c>
      <c r="F278" s="1">
        <v>1.0</v>
      </c>
      <c r="G278" s="7">
        <v>136.62</v>
      </c>
      <c r="H278" s="7">
        <v>136.62</v>
      </c>
      <c r="I278" s="1">
        <v>131.0</v>
      </c>
      <c r="J278" s="1" t="s">
        <v>17</v>
      </c>
      <c r="K278" s="1">
        <v>0.0</v>
      </c>
    </row>
    <row r="279">
      <c r="A279" s="1" t="s">
        <v>314</v>
      </c>
      <c r="B279" s="1" t="s">
        <v>24</v>
      </c>
      <c r="C279" s="1" t="s">
        <v>240</v>
      </c>
      <c r="D279" s="6">
        <v>45799.0</v>
      </c>
      <c r="E279" s="6">
        <v>45799.0</v>
      </c>
      <c r="F279" s="1">
        <v>1.0</v>
      </c>
      <c r="G279" s="7">
        <v>96.5</v>
      </c>
      <c r="H279" s="7">
        <v>96.5</v>
      </c>
      <c r="I279" s="1">
        <v>418.0</v>
      </c>
      <c r="J279" s="1" t="s">
        <v>14</v>
      </c>
      <c r="K279" s="1">
        <v>0.0</v>
      </c>
    </row>
    <row r="280">
      <c r="A280" s="1" t="s">
        <v>315</v>
      </c>
      <c r="B280" s="1" t="s">
        <v>29</v>
      </c>
      <c r="C280" s="1" t="s">
        <v>240</v>
      </c>
      <c r="D280" s="6">
        <v>45791.0</v>
      </c>
      <c r="E280" s="6">
        <v>45791.0</v>
      </c>
      <c r="F280" s="1">
        <v>1.0</v>
      </c>
      <c r="G280" s="7">
        <v>67.72</v>
      </c>
      <c r="H280" s="7">
        <v>67.72</v>
      </c>
      <c r="I280" s="1">
        <v>426.0</v>
      </c>
      <c r="J280" s="1" t="s">
        <v>14</v>
      </c>
      <c r="K280" s="1">
        <v>0.0</v>
      </c>
    </row>
    <row r="281">
      <c r="A281" s="1" t="s">
        <v>316</v>
      </c>
      <c r="B281" s="1" t="s">
        <v>36</v>
      </c>
      <c r="C281" s="1" t="s">
        <v>240</v>
      </c>
      <c r="D281" s="6">
        <v>46165.0</v>
      </c>
      <c r="E281" s="6">
        <v>46165.0</v>
      </c>
      <c r="F281" s="1">
        <v>1.0</v>
      </c>
      <c r="G281" s="7">
        <v>110.56</v>
      </c>
      <c r="H281" s="7">
        <v>110.56</v>
      </c>
      <c r="I281" s="1">
        <v>52.0</v>
      </c>
      <c r="J281" s="1" t="s">
        <v>17</v>
      </c>
      <c r="K281" s="1">
        <v>0.0</v>
      </c>
    </row>
    <row r="282">
      <c r="D282" s="10"/>
      <c r="E282" s="10"/>
      <c r="G282" s="11"/>
      <c r="H282" s="11"/>
    </row>
    <row r="283">
      <c r="D283" s="10"/>
      <c r="E283" s="10"/>
      <c r="G283" s="11"/>
      <c r="H283" s="11"/>
    </row>
    <row r="284">
      <c r="D284" s="10"/>
      <c r="E284" s="10"/>
      <c r="G284" s="11"/>
      <c r="H284" s="11"/>
    </row>
    <row r="285">
      <c r="D285" s="10"/>
      <c r="E285" s="10"/>
      <c r="G285" s="11"/>
      <c r="H285" s="11"/>
    </row>
    <row r="286">
      <c r="D286" s="10"/>
      <c r="E286" s="10"/>
      <c r="G286" s="11"/>
      <c r="H286" s="11"/>
    </row>
    <row r="287">
      <c r="D287" s="10"/>
      <c r="E287" s="10"/>
      <c r="G287" s="11"/>
      <c r="H287" s="11"/>
    </row>
    <row r="288">
      <c r="D288" s="10"/>
      <c r="E288" s="10"/>
      <c r="G288" s="11"/>
      <c r="H288" s="11"/>
    </row>
    <row r="289">
      <c r="D289" s="10"/>
      <c r="E289" s="10"/>
      <c r="G289" s="11"/>
      <c r="H289" s="11"/>
    </row>
    <row r="290">
      <c r="D290" s="10"/>
      <c r="E290" s="10"/>
      <c r="G290" s="11"/>
      <c r="H290" s="11"/>
    </row>
    <row r="291">
      <c r="D291" s="10"/>
      <c r="E291" s="10"/>
      <c r="G291" s="11"/>
      <c r="H291" s="11"/>
    </row>
    <row r="292">
      <c r="D292" s="10"/>
      <c r="E292" s="10"/>
      <c r="G292" s="11"/>
      <c r="H292" s="11"/>
    </row>
    <row r="293">
      <c r="D293" s="10"/>
      <c r="E293" s="10"/>
      <c r="G293" s="11"/>
      <c r="H293" s="11"/>
    </row>
    <row r="294">
      <c r="D294" s="10"/>
      <c r="E294" s="10"/>
      <c r="G294" s="11"/>
      <c r="H294" s="11"/>
    </row>
    <row r="295">
      <c r="D295" s="10"/>
      <c r="E295" s="10"/>
      <c r="G295" s="11"/>
      <c r="H295" s="11"/>
    </row>
    <row r="296">
      <c r="D296" s="10"/>
      <c r="E296" s="10"/>
      <c r="G296" s="11"/>
      <c r="H296" s="11"/>
    </row>
    <row r="297">
      <c r="D297" s="10"/>
      <c r="E297" s="10"/>
      <c r="G297" s="11"/>
      <c r="H297" s="11"/>
    </row>
    <row r="298">
      <c r="D298" s="10"/>
      <c r="E298" s="10"/>
      <c r="G298" s="11"/>
      <c r="H298" s="11"/>
    </row>
    <row r="299">
      <c r="D299" s="10"/>
      <c r="E299" s="10"/>
      <c r="G299" s="11"/>
      <c r="H299" s="11"/>
    </row>
    <row r="300">
      <c r="D300" s="10"/>
      <c r="E300" s="10"/>
      <c r="G300" s="11"/>
      <c r="H300" s="11"/>
    </row>
    <row r="301">
      <c r="D301" s="10"/>
      <c r="E301" s="10"/>
      <c r="G301" s="11"/>
      <c r="H301" s="11"/>
    </row>
    <row r="302">
      <c r="D302" s="10"/>
      <c r="E302" s="10"/>
      <c r="G302" s="11"/>
      <c r="H302" s="11"/>
    </row>
    <row r="303">
      <c r="D303" s="10"/>
      <c r="E303" s="10"/>
      <c r="G303" s="11"/>
      <c r="H303" s="11"/>
    </row>
    <row r="304">
      <c r="D304" s="10"/>
      <c r="E304" s="10"/>
      <c r="G304" s="11"/>
      <c r="H304" s="11"/>
    </row>
    <row r="305">
      <c r="D305" s="10"/>
      <c r="E305" s="10"/>
      <c r="G305" s="11"/>
      <c r="H305" s="11"/>
    </row>
    <row r="306">
      <c r="D306" s="10"/>
      <c r="E306" s="10"/>
      <c r="G306" s="11"/>
      <c r="H306" s="11"/>
    </row>
    <row r="307">
      <c r="D307" s="10"/>
      <c r="E307" s="10"/>
      <c r="G307" s="11"/>
      <c r="H307" s="11"/>
    </row>
    <row r="308">
      <c r="D308" s="10"/>
      <c r="E308" s="10"/>
      <c r="G308" s="11"/>
      <c r="H308" s="11"/>
    </row>
    <row r="309">
      <c r="D309" s="10"/>
      <c r="E309" s="10"/>
      <c r="G309" s="11"/>
      <c r="H309" s="11"/>
    </row>
    <row r="310">
      <c r="D310" s="10"/>
      <c r="E310" s="10"/>
      <c r="G310" s="11"/>
      <c r="H310" s="11"/>
    </row>
    <row r="311">
      <c r="D311" s="10"/>
      <c r="E311" s="10"/>
      <c r="G311" s="11"/>
      <c r="H311" s="11"/>
    </row>
    <row r="312">
      <c r="D312" s="10"/>
      <c r="E312" s="10"/>
      <c r="G312" s="11"/>
      <c r="H312" s="11"/>
    </row>
    <row r="313">
      <c r="D313" s="10"/>
      <c r="E313" s="10"/>
      <c r="G313" s="11"/>
      <c r="H313" s="11"/>
    </row>
    <row r="314">
      <c r="D314" s="10"/>
      <c r="E314" s="10"/>
      <c r="G314" s="11"/>
      <c r="H314" s="11"/>
    </row>
    <row r="315">
      <c r="D315" s="10"/>
      <c r="E315" s="10"/>
      <c r="G315" s="11"/>
      <c r="H315" s="11"/>
    </row>
    <row r="316">
      <c r="D316" s="10"/>
      <c r="E316" s="10"/>
      <c r="G316" s="11"/>
      <c r="H316" s="11"/>
    </row>
    <row r="317">
      <c r="D317" s="10"/>
      <c r="E317" s="10"/>
      <c r="G317" s="11"/>
      <c r="H317" s="11"/>
    </row>
    <row r="318">
      <c r="D318" s="10"/>
      <c r="E318" s="10"/>
      <c r="G318" s="11"/>
      <c r="H318" s="11"/>
    </row>
    <row r="319">
      <c r="D319" s="10"/>
      <c r="E319" s="10"/>
      <c r="G319" s="11"/>
      <c r="H319" s="11"/>
    </row>
    <row r="320">
      <c r="D320" s="10"/>
      <c r="E320" s="10"/>
      <c r="G320" s="11"/>
      <c r="H320" s="11"/>
    </row>
    <row r="321">
      <c r="D321" s="10"/>
      <c r="E321" s="10"/>
      <c r="G321" s="11"/>
      <c r="H321" s="11"/>
    </row>
    <row r="322">
      <c r="D322" s="10"/>
      <c r="E322" s="10"/>
      <c r="G322" s="11"/>
      <c r="H322" s="11"/>
    </row>
    <row r="323">
      <c r="D323" s="10"/>
      <c r="E323" s="10"/>
      <c r="G323" s="11"/>
      <c r="H323" s="11"/>
    </row>
    <row r="324">
      <c r="D324" s="10"/>
      <c r="E324" s="10"/>
      <c r="G324" s="11"/>
      <c r="H324" s="11"/>
    </row>
    <row r="325">
      <c r="D325" s="10"/>
      <c r="E325" s="10"/>
      <c r="G325" s="11"/>
      <c r="H325" s="11"/>
    </row>
    <row r="326">
      <c r="D326" s="10"/>
      <c r="E326" s="10"/>
      <c r="G326" s="11"/>
      <c r="H326" s="11"/>
    </row>
    <row r="327">
      <c r="D327" s="10"/>
      <c r="E327" s="10"/>
      <c r="G327" s="11"/>
      <c r="H327" s="11"/>
    </row>
    <row r="328">
      <c r="D328" s="10"/>
      <c r="E328" s="10"/>
      <c r="G328" s="11"/>
      <c r="H328" s="11"/>
    </row>
    <row r="329">
      <c r="D329" s="10"/>
      <c r="E329" s="10"/>
      <c r="G329" s="11"/>
      <c r="H329" s="11"/>
    </row>
    <row r="330">
      <c r="D330" s="10"/>
      <c r="E330" s="10"/>
      <c r="G330" s="11"/>
      <c r="H330" s="11"/>
    </row>
    <row r="331">
      <c r="D331" s="10"/>
      <c r="E331" s="10"/>
      <c r="G331" s="11"/>
      <c r="H331" s="11"/>
    </row>
    <row r="332">
      <c r="D332" s="10"/>
      <c r="E332" s="10"/>
      <c r="G332" s="11"/>
      <c r="H332" s="11"/>
    </row>
    <row r="333">
      <c r="D333" s="10"/>
      <c r="E333" s="10"/>
      <c r="G333" s="11"/>
      <c r="H333" s="11"/>
    </row>
    <row r="334">
      <c r="D334" s="10"/>
      <c r="E334" s="10"/>
      <c r="G334" s="11"/>
      <c r="H334" s="11"/>
    </row>
    <row r="335">
      <c r="D335" s="10"/>
      <c r="E335" s="10"/>
      <c r="G335" s="11"/>
      <c r="H335" s="11"/>
    </row>
    <row r="336">
      <c r="D336" s="10"/>
      <c r="E336" s="10"/>
      <c r="G336" s="11"/>
      <c r="H336" s="11"/>
    </row>
    <row r="337">
      <c r="D337" s="10"/>
      <c r="E337" s="10"/>
      <c r="G337" s="11"/>
      <c r="H337" s="11"/>
    </row>
    <row r="338">
      <c r="D338" s="10"/>
      <c r="E338" s="10"/>
      <c r="G338" s="11"/>
      <c r="H338" s="11"/>
    </row>
    <row r="339">
      <c r="D339" s="10"/>
      <c r="E339" s="10"/>
      <c r="G339" s="11"/>
      <c r="H339" s="11"/>
    </row>
    <row r="340">
      <c r="D340" s="10"/>
      <c r="E340" s="10"/>
      <c r="G340" s="11"/>
      <c r="H340" s="11"/>
    </row>
    <row r="341">
      <c r="D341" s="10"/>
      <c r="E341" s="10"/>
      <c r="G341" s="11"/>
      <c r="H341" s="11"/>
    </row>
    <row r="342">
      <c r="D342" s="10"/>
      <c r="E342" s="10"/>
      <c r="G342" s="11"/>
      <c r="H342" s="11"/>
    </row>
    <row r="343">
      <c r="D343" s="10"/>
      <c r="E343" s="10"/>
      <c r="G343" s="11"/>
      <c r="H343" s="11"/>
    </row>
    <row r="344">
      <c r="D344" s="10"/>
      <c r="E344" s="10"/>
      <c r="G344" s="11"/>
      <c r="H344" s="11"/>
    </row>
    <row r="345">
      <c r="D345" s="10"/>
      <c r="E345" s="10"/>
      <c r="G345" s="11"/>
      <c r="H345" s="11"/>
    </row>
    <row r="346">
      <c r="D346" s="10"/>
      <c r="E346" s="10"/>
      <c r="G346" s="11"/>
      <c r="H346" s="11"/>
    </row>
    <row r="347">
      <c r="D347" s="10"/>
      <c r="E347" s="10"/>
      <c r="G347" s="11"/>
      <c r="H347" s="11"/>
    </row>
    <row r="348">
      <c r="D348" s="10"/>
      <c r="E348" s="10"/>
      <c r="G348" s="11"/>
      <c r="H348" s="11"/>
    </row>
    <row r="349">
      <c r="D349" s="10"/>
      <c r="E349" s="10"/>
      <c r="G349" s="11"/>
      <c r="H349" s="11"/>
    </row>
    <row r="350">
      <c r="D350" s="10"/>
      <c r="E350" s="10"/>
      <c r="G350" s="11"/>
      <c r="H350" s="11"/>
    </row>
    <row r="351">
      <c r="D351" s="10"/>
      <c r="E351" s="10"/>
      <c r="G351" s="11"/>
      <c r="H351" s="11"/>
    </row>
    <row r="352">
      <c r="D352" s="10"/>
      <c r="E352" s="10"/>
      <c r="G352" s="11"/>
      <c r="H352" s="11"/>
    </row>
    <row r="353">
      <c r="D353" s="10"/>
      <c r="E353" s="10"/>
      <c r="G353" s="11"/>
      <c r="H353" s="11"/>
    </row>
    <row r="354">
      <c r="D354" s="10"/>
      <c r="E354" s="10"/>
      <c r="G354" s="11"/>
      <c r="H354" s="11"/>
    </row>
    <row r="355">
      <c r="D355" s="10"/>
      <c r="E355" s="10"/>
      <c r="G355" s="11"/>
      <c r="H355" s="11"/>
    </row>
    <row r="356">
      <c r="D356" s="10"/>
      <c r="E356" s="10"/>
      <c r="G356" s="11"/>
      <c r="H356" s="11"/>
    </row>
    <row r="357">
      <c r="D357" s="10"/>
      <c r="E357" s="10"/>
      <c r="G357" s="11"/>
      <c r="H357" s="11"/>
    </row>
    <row r="358">
      <c r="D358" s="10"/>
      <c r="E358" s="10"/>
      <c r="G358" s="11"/>
      <c r="H358" s="11"/>
    </row>
    <row r="359">
      <c r="D359" s="10"/>
      <c r="E359" s="10"/>
      <c r="G359" s="11"/>
      <c r="H359" s="11"/>
    </row>
    <row r="360">
      <c r="D360" s="10"/>
      <c r="E360" s="10"/>
      <c r="G360" s="11"/>
      <c r="H360" s="11"/>
    </row>
    <row r="361">
      <c r="D361" s="10"/>
      <c r="E361" s="10"/>
      <c r="G361" s="11"/>
      <c r="H361" s="11"/>
    </row>
    <row r="362">
      <c r="D362" s="10"/>
      <c r="E362" s="10"/>
      <c r="G362" s="11"/>
      <c r="H362" s="11"/>
    </row>
    <row r="363">
      <c r="D363" s="10"/>
      <c r="E363" s="10"/>
      <c r="G363" s="11"/>
      <c r="H363" s="11"/>
    </row>
    <row r="364">
      <c r="D364" s="10"/>
      <c r="E364" s="10"/>
      <c r="G364" s="11"/>
      <c r="H364" s="11"/>
    </row>
    <row r="365">
      <c r="D365" s="10"/>
      <c r="E365" s="10"/>
      <c r="G365" s="11"/>
      <c r="H365" s="11"/>
    </row>
    <row r="366">
      <c r="D366" s="10"/>
      <c r="E366" s="10"/>
      <c r="G366" s="11"/>
      <c r="H366" s="11"/>
    </row>
    <row r="367">
      <c r="D367" s="10"/>
      <c r="E367" s="10"/>
      <c r="G367" s="11"/>
      <c r="H367" s="11"/>
    </row>
    <row r="368">
      <c r="D368" s="10"/>
      <c r="E368" s="10"/>
      <c r="G368" s="11"/>
      <c r="H368" s="11"/>
    </row>
    <row r="369">
      <c r="D369" s="10"/>
      <c r="E369" s="10"/>
      <c r="G369" s="11"/>
      <c r="H369" s="11"/>
    </row>
    <row r="370">
      <c r="D370" s="10"/>
      <c r="E370" s="10"/>
      <c r="G370" s="11"/>
      <c r="H370" s="11"/>
    </row>
    <row r="371">
      <c r="D371" s="10"/>
      <c r="E371" s="10"/>
      <c r="G371" s="11"/>
      <c r="H371" s="11"/>
    </row>
    <row r="372">
      <c r="D372" s="10"/>
      <c r="E372" s="10"/>
      <c r="G372" s="11"/>
      <c r="H372" s="11"/>
    </row>
    <row r="373">
      <c r="D373" s="10"/>
      <c r="E373" s="10"/>
      <c r="G373" s="11"/>
      <c r="H373" s="11"/>
    </row>
    <row r="374">
      <c r="D374" s="10"/>
      <c r="E374" s="10"/>
      <c r="G374" s="11"/>
      <c r="H374" s="11"/>
    </row>
    <row r="375">
      <c r="D375" s="10"/>
      <c r="E375" s="10"/>
      <c r="G375" s="11"/>
      <c r="H375" s="11"/>
    </row>
    <row r="376">
      <c r="D376" s="10"/>
      <c r="E376" s="10"/>
      <c r="G376" s="11"/>
      <c r="H376" s="11"/>
    </row>
    <row r="377">
      <c r="D377" s="10"/>
      <c r="E377" s="10"/>
      <c r="G377" s="11"/>
      <c r="H377" s="11"/>
    </row>
    <row r="378">
      <c r="D378" s="10"/>
      <c r="E378" s="10"/>
      <c r="G378" s="11"/>
      <c r="H378" s="11"/>
    </row>
    <row r="379">
      <c r="D379" s="10"/>
      <c r="E379" s="10"/>
      <c r="G379" s="11"/>
      <c r="H379" s="11"/>
    </row>
    <row r="380">
      <c r="D380" s="10"/>
      <c r="E380" s="10"/>
      <c r="G380" s="11"/>
      <c r="H380" s="11"/>
    </row>
    <row r="381">
      <c r="D381" s="10"/>
      <c r="E381" s="10"/>
      <c r="G381" s="11"/>
      <c r="H381" s="11"/>
    </row>
    <row r="382">
      <c r="D382" s="10"/>
      <c r="E382" s="10"/>
      <c r="G382" s="11"/>
      <c r="H382" s="11"/>
    </row>
    <row r="383">
      <c r="D383" s="10"/>
      <c r="E383" s="10"/>
      <c r="G383" s="11"/>
      <c r="H383" s="11"/>
    </row>
    <row r="384">
      <c r="D384" s="10"/>
      <c r="E384" s="10"/>
      <c r="G384" s="11"/>
      <c r="H384" s="11"/>
    </row>
    <row r="385">
      <c r="D385" s="10"/>
      <c r="E385" s="10"/>
      <c r="G385" s="11"/>
      <c r="H385" s="11"/>
    </row>
    <row r="386">
      <c r="D386" s="10"/>
      <c r="E386" s="10"/>
      <c r="G386" s="11"/>
      <c r="H386" s="11"/>
    </row>
    <row r="387">
      <c r="D387" s="10"/>
      <c r="E387" s="10"/>
      <c r="G387" s="11"/>
      <c r="H387" s="11"/>
    </row>
    <row r="388">
      <c r="D388" s="10"/>
      <c r="E388" s="10"/>
      <c r="G388" s="11"/>
      <c r="H388" s="11"/>
    </row>
    <row r="389">
      <c r="D389" s="10"/>
      <c r="E389" s="10"/>
      <c r="G389" s="11"/>
      <c r="H389" s="11"/>
    </row>
    <row r="390">
      <c r="D390" s="10"/>
      <c r="E390" s="10"/>
      <c r="G390" s="11"/>
      <c r="H390" s="11"/>
    </row>
    <row r="391">
      <c r="D391" s="10"/>
      <c r="E391" s="10"/>
      <c r="G391" s="11"/>
      <c r="H391" s="11"/>
    </row>
    <row r="392">
      <c r="D392" s="10"/>
      <c r="E392" s="10"/>
      <c r="G392" s="11"/>
      <c r="H392" s="11"/>
    </row>
    <row r="393">
      <c r="D393" s="10"/>
      <c r="E393" s="10"/>
      <c r="G393" s="11"/>
      <c r="H393" s="11"/>
    </row>
    <row r="394">
      <c r="D394" s="10"/>
      <c r="E394" s="10"/>
      <c r="G394" s="11"/>
      <c r="H394" s="11"/>
    </row>
    <row r="395">
      <c r="D395" s="10"/>
      <c r="E395" s="10"/>
      <c r="G395" s="11"/>
      <c r="H395" s="11"/>
    </row>
    <row r="396">
      <c r="D396" s="10"/>
      <c r="E396" s="10"/>
      <c r="G396" s="11"/>
      <c r="H396" s="11"/>
    </row>
    <row r="397">
      <c r="D397" s="10"/>
      <c r="E397" s="10"/>
      <c r="G397" s="11"/>
      <c r="H397" s="11"/>
    </row>
    <row r="398">
      <c r="D398" s="10"/>
      <c r="E398" s="10"/>
      <c r="G398" s="11"/>
      <c r="H398" s="11"/>
    </row>
    <row r="399">
      <c r="D399" s="10"/>
      <c r="E399" s="10"/>
      <c r="G399" s="11"/>
      <c r="H399" s="11"/>
    </row>
    <row r="400">
      <c r="D400" s="10"/>
      <c r="E400" s="10"/>
      <c r="G400" s="11"/>
      <c r="H400" s="11"/>
    </row>
    <row r="401">
      <c r="D401" s="10"/>
      <c r="E401" s="10"/>
      <c r="G401" s="11"/>
      <c r="H401" s="11"/>
    </row>
    <row r="402">
      <c r="D402" s="10"/>
      <c r="E402" s="10"/>
      <c r="G402" s="11"/>
      <c r="H402" s="11"/>
    </row>
    <row r="403">
      <c r="D403" s="10"/>
      <c r="E403" s="10"/>
      <c r="G403" s="11"/>
      <c r="H403" s="11"/>
    </row>
    <row r="404">
      <c r="D404" s="10"/>
      <c r="E404" s="10"/>
      <c r="G404" s="11"/>
      <c r="H404" s="11"/>
    </row>
    <row r="405">
      <c r="D405" s="10"/>
      <c r="E405" s="10"/>
      <c r="G405" s="11"/>
      <c r="H405" s="11"/>
    </row>
    <row r="406">
      <c r="D406" s="10"/>
      <c r="E406" s="10"/>
      <c r="G406" s="11"/>
      <c r="H406" s="11"/>
    </row>
    <row r="407">
      <c r="D407" s="10"/>
      <c r="E407" s="10"/>
      <c r="G407" s="11"/>
      <c r="H407" s="11"/>
    </row>
    <row r="408">
      <c r="D408" s="10"/>
      <c r="E408" s="10"/>
      <c r="G408" s="11"/>
      <c r="H408" s="11"/>
    </row>
    <row r="409">
      <c r="D409" s="10"/>
      <c r="E409" s="10"/>
      <c r="G409" s="11"/>
      <c r="H409" s="11"/>
    </row>
    <row r="410">
      <c r="D410" s="10"/>
      <c r="E410" s="10"/>
      <c r="G410" s="11"/>
      <c r="H410" s="11"/>
    </row>
    <row r="411">
      <c r="D411" s="10"/>
      <c r="E411" s="10"/>
      <c r="G411" s="11"/>
      <c r="H411" s="11"/>
    </row>
    <row r="412">
      <c r="D412" s="10"/>
      <c r="E412" s="10"/>
      <c r="G412" s="11"/>
      <c r="H412" s="11"/>
    </row>
    <row r="413">
      <c r="D413" s="10"/>
      <c r="E413" s="10"/>
      <c r="G413" s="11"/>
      <c r="H413" s="11"/>
    </row>
    <row r="414">
      <c r="D414" s="10"/>
      <c r="E414" s="10"/>
      <c r="G414" s="11"/>
      <c r="H414" s="11"/>
    </row>
    <row r="415">
      <c r="D415" s="10"/>
      <c r="E415" s="10"/>
      <c r="G415" s="11"/>
      <c r="H415" s="11"/>
    </row>
    <row r="416">
      <c r="D416" s="10"/>
      <c r="E416" s="10"/>
      <c r="G416" s="11"/>
      <c r="H416" s="11"/>
    </row>
    <row r="417">
      <c r="D417" s="10"/>
      <c r="E417" s="10"/>
      <c r="G417" s="11"/>
      <c r="H417" s="11"/>
    </row>
    <row r="418">
      <c r="D418" s="10"/>
      <c r="E418" s="10"/>
      <c r="G418" s="11"/>
      <c r="H418" s="11"/>
    </row>
    <row r="419">
      <c r="D419" s="10"/>
      <c r="E419" s="10"/>
      <c r="G419" s="11"/>
      <c r="H419" s="11"/>
    </row>
    <row r="420">
      <c r="D420" s="10"/>
      <c r="E420" s="10"/>
      <c r="G420" s="11"/>
      <c r="H420" s="11"/>
    </row>
    <row r="421">
      <c r="D421" s="10"/>
      <c r="E421" s="10"/>
      <c r="G421" s="11"/>
      <c r="H421" s="11"/>
    </row>
    <row r="422">
      <c r="D422" s="10"/>
      <c r="E422" s="10"/>
      <c r="G422" s="11"/>
      <c r="H422" s="11"/>
    </row>
    <row r="423">
      <c r="D423" s="10"/>
      <c r="E423" s="10"/>
      <c r="G423" s="11"/>
      <c r="H423" s="11"/>
    </row>
    <row r="424">
      <c r="D424" s="10"/>
      <c r="E424" s="10"/>
      <c r="G424" s="11"/>
      <c r="H424" s="11"/>
    </row>
    <row r="425">
      <c r="D425" s="10"/>
      <c r="E425" s="10"/>
      <c r="G425" s="11"/>
      <c r="H425" s="11"/>
    </row>
    <row r="426">
      <c r="D426" s="10"/>
      <c r="E426" s="10"/>
      <c r="G426" s="11"/>
      <c r="H426" s="11"/>
    </row>
    <row r="427">
      <c r="D427" s="10"/>
      <c r="E427" s="10"/>
      <c r="G427" s="11"/>
      <c r="H427" s="11"/>
    </row>
    <row r="428">
      <c r="D428" s="10"/>
      <c r="E428" s="10"/>
      <c r="G428" s="11"/>
      <c r="H428" s="11"/>
    </row>
    <row r="429">
      <c r="D429" s="10"/>
      <c r="E429" s="10"/>
      <c r="G429" s="11"/>
      <c r="H429" s="11"/>
    </row>
    <row r="430">
      <c r="D430" s="10"/>
      <c r="E430" s="10"/>
      <c r="G430" s="11"/>
      <c r="H430" s="11"/>
    </row>
    <row r="431">
      <c r="D431" s="10"/>
      <c r="E431" s="10"/>
      <c r="G431" s="11"/>
      <c r="H431" s="11"/>
    </row>
    <row r="432">
      <c r="D432" s="10"/>
      <c r="E432" s="10"/>
      <c r="G432" s="11"/>
      <c r="H432" s="11"/>
    </row>
    <row r="433">
      <c r="D433" s="10"/>
      <c r="E433" s="10"/>
      <c r="G433" s="11"/>
      <c r="H433" s="11"/>
    </row>
    <row r="434">
      <c r="D434" s="10"/>
      <c r="E434" s="10"/>
      <c r="G434" s="11"/>
      <c r="H434" s="11"/>
    </row>
    <row r="435">
      <c r="D435" s="10"/>
      <c r="E435" s="10"/>
      <c r="G435" s="11"/>
      <c r="H435" s="11"/>
    </row>
    <row r="436">
      <c r="D436" s="10"/>
      <c r="E436" s="10"/>
      <c r="G436" s="11"/>
      <c r="H436" s="11"/>
    </row>
    <row r="437">
      <c r="D437" s="10"/>
      <c r="E437" s="10"/>
      <c r="G437" s="11"/>
      <c r="H437" s="11"/>
    </row>
    <row r="438">
      <c r="D438" s="10"/>
      <c r="E438" s="10"/>
      <c r="G438" s="11"/>
      <c r="H438" s="11"/>
    </row>
    <row r="439">
      <c r="D439" s="10"/>
      <c r="E439" s="10"/>
      <c r="G439" s="11"/>
      <c r="H439" s="11"/>
    </row>
    <row r="440">
      <c r="D440" s="10"/>
      <c r="E440" s="10"/>
      <c r="G440" s="11"/>
      <c r="H440" s="11"/>
    </row>
    <row r="441">
      <c r="D441" s="10"/>
      <c r="E441" s="10"/>
      <c r="G441" s="11"/>
      <c r="H441" s="11"/>
    </row>
    <row r="442">
      <c r="D442" s="10"/>
      <c r="E442" s="10"/>
      <c r="G442" s="11"/>
      <c r="H442" s="11"/>
    </row>
    <row r="443">
      <c r="D443" s="10"/>
      <c r="E443" s="10"/>
      <c r="G443" s="11"/>
      <c r="H443" s="11"/>
    </row>
    <row r="444">
      <c r="D444" s="10"/>
      <c r="E444" s="10"/>
      <c r="G444" s="11"/>
      <c r="H444" s="11"/>
    </row>
    <row r="445">
      <c r="D445" s="10"/>
      <c r="E445" s="10"/>
      <c r="G445" s="11"/>
      <c r="H445" s="11"/>
    </row>
    <row r="446">
      <c r="D446" s="10"/>
      <c r="E446" s="10"/>
      <c r="G446" s="11"/>
      <c r="H446" s="11"/>
    </row>
    <row r="447">
      <c r="D447" s="10"/>
      <c r="E447" s="10"/>
      <c r="G447" s="11"/>
      <c r="H447" s="11"/>
    </row>
    <row r="448">
      <c r="D448" s="10"/>
      <c r="E448" s="10"/>
      <c r="G448" s="11"/>
      <c r="H448" s="11"/>
    </row>
    <row r="449">
      <c r="D449" s="10"/>
      <c r="E449" s="10"/>
      <c r="G449" s="11"/>
      <c r="H449" s="11"/>
    </row>
    <row r="450">
      <c r="D450" s="10"/>
      <c r="E450" s="10"/>
      <c r="G450" s="11"/>
      <c r="H450" s="11"/>
    </row>
    <row r="451">
      <c r="D451" s="10"/>
      <c r="E451" s="10"/>
      <c r="G451" s="11"/>
      <c r="H451" s="11"/>
    </row>
    <row r="452">
      <c r="D452" s="10"/>
      <c r="E452" s="10"/>
      <c r="G452" s="11"/>
      <c r="H452" s="11"/>
    </row>
    <row r="453">
      <c r="D453" s="10"/>
      <c r="E453" s="10"/>
      <c r="G453" s="11"/>
      <c r="H453" s="11"/>
    </row>
    <row r="454">
      <c r="D454" s="10"/>
      <c r="E454" s="10"/>
      <c r="G454" s="11"/>
      <c r="H454" s="11"/>
    </row>
    <row r="455">
      <c r="D455" s="10"/>
      <c r="E455" s="10"/>
      <c r="G455" s="11"/>
      <c r="H455" s="11"/>
    </row>
    <row r="456">
      <c r="D456" s="10"/>
      <c r="E456" s="10"/>
      <c r="G456" s="11"/>
      <c r="H456" s="11"/>
    </row>
    <row r="457">
      <c r="D457" s="10"/>
      <c r="E457" s="10"/>
      <c r="G457" s="11"/>
      <c r="H457" s="11"/>
    </row>
    <row r="458">
      <c r="D458" s="10"/>
      <c r="E458" s="10"/>
      <c r="G458" s="11"/>
      <c r="H458" s="11"/>
    </row>
    <row r="459">
      <c r="D459" s="10"/>
      <c r="E459" s="10"/>
      <c r="G459" s="11"/>
      <c r="H459" s="11"/>
    </row>
    <row r="460">
      <c r="D460" s="10"/>
      <c r="E460" s="10"/>
      <c r="G460" s="11"/>
      <c r="H460" s="11"/>
    </row>
    <row r="461">
      <c r="D461" s="10"/>
      <c r="E461" s="10"/>
      <c r="G461" s="11"/>
      <c r="H461" s="11"/>
    </row>
    <row r="462">
      <c r="D462" s="10"/>
      <c r="E462" s="10"/>
      <c r="G462" s="11"/>
      <c r="H462" s="11"/>
    </row>
    <row r="463">
      <c r="D463" s="10"/>
      <c r="E463" s="10"/>
      <c r="G463" s="11"/>
      <c r="H463" s="11"/>
    </row>
    <row r="464">
      <c r="D464" s="10"/>
      <c r="E464" s="10"/>
      <c r="G464" s="11"/>
      <c r="H464" s="11"/>
    </row>
    <row r="465">
      <c r="D465" s="10"/>
      <c r="E465" s="10"/>
      <c r="G465" s="11"/>
      <c r="H465" s="11"/>
    </row>
    <row r="466">
      <c r="D466" s="10"/>
      <c r="E466" s="10"/>
      <c r="G466" s="11"/>
      <c r="H466" s="11"/>
    </row>
    <row r="467">
      <c r="D467" s="10"/>
      <c r="E467" s="10"/>
      <c r="G467" s="11"/>
      <c r="H467" s="11"/>
    </row>
    <row r="468">
      <c r="D468" s="10"/>
      <c r="E468" s="10"/>
      <c r="G468" s="11"/>
      <c r="H468" s="11"/>
    </row>
    <row r="469">
      <c r="D469" s="10"/>
      <c r="E469" s="10"/>
      <c r="G469" s="11"/>
      <c r="H469" s="11"/>
    </row>
    <row r="470">
      <c r="D470" s="10"/>
      <c r="E470" s="10"/>
      <c r="G470" s="11"/>
      <c r="H470" s="11"/>
    </row>
    <row r="471">
      <c r="D471" s="10"/>
      <c r="E471" s="10"/>
      <c r="G471" s="11"/>
      <c r="H471" s="11"/>
    </row>
    <row r="472">
      <c r="D472" s="10"/>
      <c r="E472" s="10"/>
      <c r="G472" s="11"/>
      <c r="H472" s="11"/>
    </row>
    <row r="473">
      <c r="D473" s="10"/>
      <c r="E473" s="10"/>
      <c r="G473" s="11"/>
      <c r="H473" s="11"/>
    </row>
    <row r="474">
      <c r="D474" s="10"/>
      <c r="E474" s="10"/>
      <c r="G474" s="11"/>
      <c r="H474" s="11"/>
    </row>
    <row r="475">
      <c r="D475" s="10"/>
      <c r="E475" s="10"/>
      <c r="G475" s="11"/>
      <c r="H475" s="11"/>
    </row>
    <row r="476">
      <c r="D476" s="10"/>
      <c r="E476" s="10"/>
      <c r="G476" s="11"/>
      <c r="H476" s="11"/>
    </row>
    <row r="477">
      <c r="D477" s="10"/>
      <c r="E477" s="10"/>
      <c r="G477" s="11"/>
      <c r="H477" s="11"/>
    </row>
    <row r="478">
      <c r="D478" s="10"/>
      <c r="E478" s="10"/>
      <c r="G478" s="11"/>
      <c r="H478" s="11"/>
    </row>
    <row r="479">
      <c r="D479" s="10"/>
      <c r="E479" s="10"/>
      <c r="G479" s="11"/>
      <c r="H479" s="11"/>
    </row>
    <row r="480">
      <c r="D480" s="10"/>
      <c r="E480" s="10"/>
      <c r="G480" s="11"/>
      <c r="H480" s="11"/>
    </row>
    <row r="481">
      <c r="D481" s="10"/>
      <c r="E481" s="10"/>
      <c r="G481" s="11"/>
      <c r="H481" s="11"/>
    </row>
    <row r="482">
      <c r="D482" s="10"/>
      <c r="E482" s="10"/>
      <c r="G482" s="11"/>
      <c r="H482" s="11"/>
    </row>
    <row r="483">
      <c r="D483" s="10"/>
      <c r="E483" s="10"/>
      <c r="G483" s="11"/>
      <c r="H483" s="11"/>
    </row>
    <row r="484">
      <c r="D484" s="10"/>
      <c r="E484" s="10"/>
      <c r="G484" s="11"/>
      <c r="H484" s="11"/>
    </row>
    <row r="485">
      <c r="D485" s="10"/>
      <c r="E485" s="10"/>
      <c r="G485" s="11"/>
      <c r="H485" s="11"/>
    </row>
    <row r="486">
      <c r="D486" s="10"/>
      <c r="E486" s="10"/>
      <c r="G486" s="11"/>
      <c r="H486" s="11"/>
    </row>
    <row r="487">
      <c r="D487" s="10"/>
      <c r="E487" s="10"/>
      <c r="G487" s="11"/>
      <c r="H487" s="11"/>
    </row>
    <row r="488">
      <c r="D488" s="10"/>
      <c r="E488" s="10"/>
      <c r="G488" s="11"/>
      <c r="H488" s="11"/>
    </row>
    <row r="489">
      <c r="D489" s="10"/>
      <c r="E489" s="10"/>
      <c r="G489" s="11"/>
      <c r="H489" s="11"/>
    </row>
    <row r="490">
      <c r="D490" s="10"/>
      <c r="E490" s="10"/>
      <c r="G490" s="11"/>
      <c r="H490" s="11"/>
    </row>
    <row r="491">
      <c r="D491" s="10"/>
      <c r="E491" s="10"/>
      <c r="G491" s="11"/>
      <c r="H491" s="11"/>
    </row>
    <row r="492">
      <c r="D492" s="10"/>
      <c r="E492" s="10"/>
      <c r="G492" s="11"/>
      <c r="H492" s="11"/>
    </row>
    <row r="493">
      <c r="D493" s="10"/>
      <c r="E493" s="10"/>
      <c r="G493" s="11"/>
      <c r="H493" s="11"/>
    </row>
    <row r="494">
      <c r="D494" s="10"/>
      <c r="E494" s="10"/>
      <c r="G494" s="11"/>
      <c r="H494" s="11"/>
    </row>
    <row r="495">
      <c r="D495" s="10"/>
      <c r="E495" s="10"/>
      <c r="G495" s="11"/>
      <c r="H495" s="11"/>
    </row>
    <row r="496">
      <c r="D496" s="10"/>
      <c r="E496" s="10"/>
      <c r="G496" s="11"/>
      <c r="H496" s="11"/>
    </row>
    <row r="497">
      <c r="D497" s="10"/>
      <c r="E497" s="10"/>
      <c r="G497" s="11"/>
      <c r="H497" s="11"/>
    </row>
    <row r="498">
      <c r="D498" s="10"/>
      <c r="E498" s="10"/>
      <c r="G498" s="11"/>
      <c r="H498" s="11"/>
    </row>
    <row r="499">
      <c r="D499" s="10"/>
      <c r="E499" s="10"/>
      <c r="G499" s="11"/>
      <c r="H499" s="11"/>
    </row>
    <row r="500">
      <c r="D500" s="10"/>
      <c r="E500" s="10"/>
      <c r="G500" s="11"/>
      <c r="H500" s="11"/>
    </row>
    <row r="501">
      <c r="D501" s="10"/>
      <c r="E501" s="10"/>
      <c r="G501" s="11"/>
      <c r="H501" s="11"/>
    </row>
    <row r="502">
      <c r="D502" s="10"/>
      <c r="E502" s="10"/>
      <c r="G502" s="11"/>
      <c r="H502" s="11"/>
    </row>
    <row r="503">
      <c r="D503" s="10"/>
      <c r="E503" s="10"/>
      <c r="G503" s="11"/>
      <c r="H503" s="11"/>
    </row>
    <row r="504">
      <c r="D504" s="10"/>
      <c r="E504" s="10"/>
      <c r="G504" s="11"/>
      <c r="H504" s="11"/>
    </row>
    <row r="505">
      <c r="D505" s="10"/>
      <c r="E505" s="10"/>
      <c r="G505" s="11"/>
      <c r="H505" s="11"/>
    </row>
    <row r="506">
      <c r="D506" s="10"/>
      <c r="E506" s="10"/>
      <c r="G506" s="11"/>
      <c r="H506" s="11"/>
    </row>
    <row r="507">
      <c r="D507" s="10"/>
      <c r="E507" s="10"/>
      <c r="G507" s="11"/>
      <c r="H507" s="11"/>
    </row>
    <row r="508">
      <c r="D508" s="10"/>
      <c r="E508" s="10"/>
      <c r="G508" s="11"/>
      <c r="H508" s="11"/>
    </row>
    <row r="509">
      <c r="D509" s="10"/>
      <c r="E509" s="10"/>
      <c r="G509" s="11"/>
      <c r="H509" s="11"/>
    </row>
    <row r="510">
      <c r="D510" s="10"/>
      <c r="E510" s="10"/>
      <c r="G510" s="11"/>
      <c r="H510" s="11"/>
    </row>
    <row r="511">
      <c r="D511" s="10"/>
      <c r="E511" s="10"/>
      <c r="G511" s="11"/>
      <c r="H511" s="11"/>
    </row>
    <row r="512">
      <c r="D512" s="10"/>
      <c r="E512" s="10"/>
      <c r="G512" s="11"/>
      <c r="H512" s="11"/>
    </row>
    <row r="513">
      <c r="D513" s="10"/>
      <c r="E513" s="10"/>
      <c r="G513" s="11"/>
      <c r="H513" s="11"/>
    </row>
    <row r="514">
      <c r="D514" s="10"/>
      <c r="E514" s="10"/>
      <c r="G514" s="11"/>
      <c r="H514" s="11"/>
    </row>
    <row r="515">
      <c r="D515" s="10"/>
      <c r="E515" s="10"/>
      <c r="G515" s="11"/>
      <c r="H515" s="11"/>
    </row>
    <row r="516">
      <c r="D516" s="10"/>
      <c r="E516" s="10"/>
      <c r="G516" s="11"/>
      <c r="H516" s="11"/>
    </row>
    <row r="517">
      <c r="D517" s="10"/>
      <c r="E517" s="10"/>
      <c r="G517" s="11"/>
      <c r="H517" s="11"/>
    </row>
    <row r="518">
      <c r="D518" s="10"/>
      <c r="E518" s="10"/>
      <c r="G518" s="11"/>
      <c r="H518" s="11"/>
    </row>
    <row r="519">
      <c r="D519" s="10"/>
      <c r="E519" s="10"/>
      <c r="G519" s="11"/>
      <c r="H519" s="11"/>
    </row>
    <row r="520">
      <c r="D520" s="10"/>
      <c r="E520" s="10"/>
      <c r="G520" s="11"/>
      <c r="H520" s="11"/>
    </row>
    <row r="521">
      <c r="D521" s="10"/>
      <c r="E521" s="10"/>
      <c r="G521" s="11"/>
      <c r="H521" s="11"/>
    </row>
    <row r="522">
      <c r="D522" s="10"/>
      <c r="E522" s="10"/>
      <c r="G522" s="11"/>
      <c r="H522" s="11"/>
    </row>
    <row r="523">
      <c r="D523" s="10"/>
      <c r="E523" s="10"/>
      <c r="G523" s="11"/>
      <c r="H523" s="11"/>
    </row>
    <row r="524">
      <c r="D524" s="10"/>
      <c r="E524" s="10"/>
      <c r="G524" s="11"/>
      <c r="H524" s="11"/>
    </row>
    <row r="525">
      <c r="D525" s="10"/>
      <c r="E525" s="10"/>
      <c r="G525" s="11"/>
      <c r="H525" s="11"/>
    </row>
    <row r="526">
      <c r="D526" s="10"/>
      <c r="E526" s="10"/>
      <c r="G526" s="11"/>
      <c r="H526" s="11"/>
    </row>
    <row r="527">
      <c r="D527" s="10"/>
      <c r="E527" s="10"/>
      <c r="G527" s="11"/>
      <c r="H527" s="11"/>
    </row>
    <row r="528">
      <c r="D528" s="10"/>
      <c r="E528" s="10"/>
      <c r="G528" s="11"/>
      <c r="H528" s="11"/>
    </row>
    <row r="529">
      <c r="D529" s="10"/>
      <c r="E529" s="10"/>
      <c r="G529" s="11"/>
      <c r="H529" s="11"/>
    </row>
    <row r="530">
      <c r="D530" s="10"/>
      <c r="E530" s="10"/>
      <c r="G530" s="11"/>
      <c r="H530" s="11"/>
    </row>
    <row r="531">
      <c r="D531" s="10"/>
      <c r="E531" s="10"/>
      <c r="G531" s="11"/>
      <c r="H531" s="11"/>
    </row>
    <row r="532">
      <c r="D532" s="10"/>
      <c r="E532" s="10"/>
      <c r="G532" s="11"/>
      <c r="H532" s="11"/>
    </row>
    <row r="533">
      <c r="D533" s="10"/>
      <c r="E533" s="10"/>
      <c r="G533" s="11"/>
      <c r="H533" s="11"/>
    </row>
    <row r="534">
      <c r="D534" s="10"/>
      <c r="E534" s="10"/>
      <c r="G534" s="11"/>
      <c r="H534" s="11"/>
    </row>
    <row r="535">
      <c r="D535" s="10"/>
      <c r="E535" s="10"/>
      <c r="G535" s="11"/>
      <c r="H535" s="11"/>
    </row>
    <row r="536">
      <c r="D536" s="10"/>
      <c r="E536" s="10"/>
      <c r="G536" s="11"/>
      <c r="H536" s="11"/>
    </row>
    <row r="537">
      <c r="D537" s="10"/>
      <c r="E537" s="10"/>
      <c r="G537" s="11"/>
      <c r="H537" s="11"/>
    </row>
    <row r="538">
      <c r="D538" s="10"/>
      <c r="E538" s="10"/>
      <c r="G538" s="11"/>
      <c r="H538" s="11"/>
    </row>
    <row r="539">
      <c r="D539" s="10"/>
      <c r="E539" s="10"/>
      <c r="G539" s="11"/>
      <c r="H539" s="11"/>
    </row>
    <row r="540">
      <c r="D540" s="10"/>
      <c r="E540" s="10"/>
      <c r="G540" s="11"/>
      <c r="H540" s="11"/>
    </row>
    <row r="541">
      <c r="D541" s="10"/>
      <c r="E541" s="10"/>
      <c r="G541" s="11"/>
      <c r="H541" s="11"/>
    </row>
    <row r="542">
      <c r="D542" s="10"/>
      <c r="E542" s="10"/>
      <c r="G542" s="11"/>
      <c r="H542" s="11"/>
    </row>
    <row r="543">
      <c r="D543" s="10"/>
      <c r="E543" s="10"/>
      <c r="G543" s="11"/>
      <c r="H543" s="11"/>
    </row>
    <row r="544">
      <c r="D544" s="10"/>
      <c r="E544" s="10"/>
      <c r="G544" s="11"/>
      <c r="H544" s="11"/>
    </row>
    <row r="545">
      <c r="D545" s="10"/>
      <c r="E545" s="10"/>
      <c r="G545" s="11"/>
      <c r="H545" s="11"/>
    </row>
    <row r="546">
      <c r="D546" s="10"/>
      <c r="E546" s="10"/>
      <c r="G546" s="11"/>
      <c r="H546" s="11"/>
    </row>
    <row r="547">
      <c r="D547" s="10"/>
      <c r="E547" s="10"/>
      <c r="G547" s="11"/>
      <c r="H547" s="11"/>
    </row>
    <row r="548">
      <c r="D548" s="10"/>
      <c r="E548" s="10"/>
      <c r="G548" s="11"/>
      <c r="H548" s="11"/>
    </row>
    <row r="549">
      <c r="D549" s="10"/>
      <c r="E549" s="10"/>
      <c r="G549" s="11"/>
      <c r="H549" s="11"/>
    </row>
    <row r="550">
      <c r="D550" s="10"/>
      <c r="E550" s="10"/>
      <c r="G550" s="11"/>
      <c r="H550" s="11"/>
    </row>
    <row r="551">
      <c r="D551" s="10"/>
      <c r="E551" s="10"/>
      <c r="G551" s="11"/>
      <c r="H551" s="11"/>
    </row>
    <row r="552">
      <c r="D552" s="10"/>
      <c r="E552" s="10"/>
      <c r="G552" s="11"/>
      <c r="H552" s="11"/>
    </row>
    <row r="553">
      <c r="D553" s="10"/>
      <c r="E553" s="10"/>
      <c r="G553" s="11"/>
      <c r="H553" s="11"/>
    </row>
    <row r="554">
      <c r="D554" s="10"/>
      <c r="E554" s="10"/>
      <c r="G554" s="11"/>
      <c r="H554" s="11"/>
    </row>
    <row r="555">
      <c r="D555" s="10"/>
      <c r="E555" s="10"/>
      <c r="G555" s="11"/>
      <c r="H555" s="11"/>
    </row>
    <row r="556">
      <c r="D556" s="10"/>
      <c r="E556" s="10"/>
      <c r="G556" s="11"/>
      <c r="H556" s="11"/>
    </row>
    <row r="557">
      <c r="D557" s="10"/>
      <c r="E557" s="10"/>
      <c r="G557" s="11"/>
      <c r="H557" s="11"/>
    </row>
    <row r="558">
      <c r="D558" s="10"/>
      <c r="E558" s="10"/>
      <c r="G558" s="11"/>
      <c r="H558" s="11"/>
    </row>
    <row r="559">
      <c r="D559" s="10"/>
      <c r="E559" s="10"/>
      <c r="G559" s="11"/>
      <c r="H559" s="11"/>
    </row>
    <row r="560">
      <c r="D560" s="10"/>
      <c r="E560" s="10"/>
      <c r="G560" s="11"/>
      <c r="H560" s="11"/>
    </row>
    <row r="561">
      <c r="D561" s="10"/>
      <c r="E561" s="10"/>
      <c r="G561" s="11"/>
      <c r="H561" s="11"/>
    </row>
    <row r="562">
      <c r="D562" s="10"/>
      <c r="E562" s="10"/>
      <c r="G562" s="11"/>
      <c r="H562" s="11"/>
    </row>
    <row r="563">
      <c r="D563" s="10"/>
      <c r="E563" s="10"/>
      <c r="G563" s="11"/>
      <c r="H563" s="11"/>
    </row>
    <row r="564">
      <c r="D564" s="10"/>
      <c r="E564" s="10"/>
      <c r="G564" s="11"/>
      <c r="H564" s="11"/>
    </row>
    <row r="565">
      <c r="D565" s="10"/>
      <c r="E565" s="10"/>
      <c r="G565" s="11"/>
      <c r="H565" s="11"/>
    </row>
    <row r="566">
      <c r="D566" s="10"/>
      <c r="E566" s="10"/>
      <c r="G566" s="11"/>
      <c r="H566" s="11"/>
    </row>
    <row r="567">
      <c r="D567" s="10"/>
      <c r="E567" s="10"/>
      <c r="G567" s="11"/>
      <c r="H567" s="11"/>
    </row>
    <row r="568">
      <c r="D568" s="10"/>
      <c r="E568" s="10"/>
      <c r="G568" s="11"/>
      <c r="H568" s="11"/>
    </row>
    <row r="569">
      <c r="D569" s="10"/>
      <c r="E569" s="10"/>
      <c r="G569" s="11"/>
      <c r="H569" s="11"/>
    </row>
    <row r="570">
      <c r="D570" s="10"/>
      <c r="E570" s="10"/>
      <c r="G570" s="11"/>
      <c r="H570" s="11"/>
    </row>
    <row r="571">
      <c r="D571" s="10"/>
      <c r="E571" s="10"/>
      <c r="G571" s="11"/>
      <c r="H571" s="11"/>
    </row>
    <row r="572">
      <c r="D572" s="10"/>
      <c r="E572" s="10"/>
      <c r="G572" s="11"/>
      <c r="H572" s="11"/>
    </row>
    <row r="573">
      <c r="D573" s="10"/>
      <c r="E573" s="10"/>
      <c r="G573" s="11"/>
      <c r="H573" s="11"/>
    </row>
    <row r="574">
      <c r="D574" s="10"/>
      <c r="E574" s="10"/>
      <c r="G574" s="11"/>
      <c r="H574" s="11"/>
    </row>
    <row r="575">
      <c r="D575" s="10"/>
      <c r="E575" s="10"/>
      <c r="G575" s="11"/>
      <c r="H575" s="11"/>
    </row>
    <row r="576">
      <c r="D576" s="10"/>
      <c r="E576" s="10"/>
      <c r="G576" s="11"/>
      <c r="H576" s="11"/>
    </row>
    <row r="577">
      <c r="D577" s="10"/>
      <c r="E577" s="10"/>
      <c r="G577" s="11"/>
      <c r="H577" s="11"/>
    </row>
    <row r="578">
      <c r="D578" s="10"/>
      <c r="E578" s="10"/>
      <c r="G578" s="11"/>
      <c r="H578" s="11"/>
    </row>
    <row r="579">
      <c r="D579" s="10"/>
      <c r="E579" s="10"/>
      <c r="G579" s="11"/>
      <c r="H579" s="11"/>
    </row>
    <row r="580">
      <c r="D580" s="10"/>
      <c r="E580" s="10"/>
      <c r="G580" s="11"/>
      <c r="H580" s="11"/>
    </row>
    <row r="581">
      <c r="D581" s="10"/>
      <c r="E581" s="10"/>
      <c r="G581" s="11"/>
      <c r="H581" s="11"/>
    </row>
    <row r="582">
      <c r="D582" s="10"/>
      <c r="E582" s="10"/>
      <c r="G582" s="11"/>
      <c r="H582" s="11"/>
    </row>
    <row r="583">
      <c r="D583" s="10"/>
      <c r="E583" s="10"/>
      <c r="G583" s="11"/>
      <c r="H583" s="11"/>
    </row>
    <row r="584">
      <c r="D584" s="10"/>
      <c r="E584" s="10"/>
      <c r="G584" s="11"/>
      <c r="H584" s="11"/>
    </row>
    <row r="585">
      <c r="D585" s="10"/>
      <c r="E585" s="10"/>
      <c r="G585" s="11"/>
      <c r="H585" s="11"/>
    </row>
    <row r="586">
      <c r="D586" s="10"/>
      <c r="E586" s="10"/>
      <c r="G586" s="11"/>
      <c r="H586" s="11"/>
    </row>
    <row r="587">
      <c r="D587" s="10"/>
      <c r="E587" s="10"/>
      <c r="G587" s="11"/>
      <c r="H587" s="11"/>
    </row>
    <row r="588">
      <c r="D588" s="10"/>
      <c r="E588" s="10"/>
      <c r="G588" s="11"/>
      <c r="H588" s="11"/>
    </row>
    <row r="589">
      <c r="D589" s="10"/>
      <c r="E589" s="10"/>
      <c r="G589" s="11"/>
      <c r="H589" s="11"/>
    </row>
    <row r="590">
      <c r="D590" s="10"/>
      <c r="E590" s="10"/>
      <c r="G590" s="11"/>
      <c r="H590" s="11"/>
    </row>
    <row r="591">
      <c r="D591" s="10"/>
      <c r="E591" s="10"/>
      <c r="G591" s="11"/>
      <c r="H591" s="11"/>
    </row>
    <row r="592">
      <c r="D592" s="10"/>
      <c r="E592" s="10"/>
      <c r="G592" s="11"/>
      <c r="H592" s="11"/>
    </row>
    <row r="593">
      <c r="D593" s="10"/>
      <c r="E593" s="10"/>
      <c r="G593" s="11"/>
      <c r="H593" s="11"/>
    </row>
    <row r="594">
      <c r="D594" s="10"/>
      <c r="E594" s="10"/>
      <c r="G594" s="11"/>
      <c r="H594" s="11"/>
    </row>
    <row r="595">
      <c r="D595" s="10"/>
      <c r="E595" s="10"/>
      <c r="G595" s="11"/>
      <c r="H595" s="11"/>
    </row>
    <row r="596">
      <c r="D596" s="10"/>
      <c r="E596" s="10"/>
      <c r="G596" s="11"/>
      <c r="H596" s="11"/>
    </row>
    <row r="597">
      <c r="D597" s="10"/>
      <c r="E597" s="10"/>
      <c r="G597" s="11"/>
      <c r="H597" s="11"/>
    </row>
    <row r="598">
      <c r="D598" s="10"/>
      <c r="E598" s="10"/>
      <c r="G598" s="11"/>
      <c r="H598" s="11"/>
    </row>
    <row r="599">
      <c r="D599" s="10"/>
      <c r="E599" s="10"/>
      <c r="G599" s="11"/>
      <c r="H599" s="11"/>
    </row>
    <row r="600">
      <c r="D600" s="10"/>
      <c r="E600" s="10"/>
      <c r="G600" s="11"/>
      <c r="H600" s="11"/>
    </row>
    <row r="601">
      <c r="D601" s="10"/>
      <c r="E601" s="10"/>
      <c r="G601" s="11"/>
      <c r="H601" s="11"/>
    </row>
    <row r="602">
      <c r="D602" s="10"/>
      <c r="E602" s="10"/>
      <c r="G602" s="11"/>
      <c r="H602" s="11"/>
    </row>
    <row r="603">
      <c r="D603" s="10"/>
      <c r="E603" s="10"/>
      <c r="G603" s="11"/>
      <c r="H603" s="11"/>
    </row>
    <row r="604">
      <c r="D604" s="10"/>
      <c r="E604" s="10"/>
      <c r="G604" s="11"/>
      <c r="H604" s="11"/>
    </row>
    <row r="605">
      <c r="D605" s="10"/>
      <c r="E605" s="10"/>
      <c r="G605" s="11"/>
      <c r="H605" s="11"/>
    </row>
    <row r="606">
      <c r="D606" s="10"/>
      <c r="E606" s="10"/>
      <c r="G606" s="11"/>
      <c r="H606" s="11"/>
    </row>
    <row r="607">
      <c r="D607" s="10"/>
      <c r="E607" s="10"/>
      <c r="G607" s="11"/>
      <c r="H607" s="11"/>
    </row>
    <row r="608">
      <c r="D608" s="10"/>
      <c r="E608" s="10"/>
      <c r="G608" s="11"/>
      <c r="H608" s="11"/>
    </row>
    <row r="609">
      <c r="D609" s="10"/>
      <c r="E609" s="10"/>
      <c r="G609" s="11"/>
      <c r="H609" s="11"/>
    </row>
    <row r="610">
      <c r="D610" s="10"/>
      <c r="E610" s="10"/>
      <c r="G610" s="11"/>
      <c r="H610" s="11"/>
    </row>
    <row r="611">
      <c r="D611" s="10"/>
      <c r="E611" s="10"/>
      <c r="G611" s="11"/>
      <c r="H611" s="11"/>
    </row>
    <row r="612">
      <c r="D612" s="10"/>
      <c r="E612" s="10"/>
      <c r="G612" s="11"/>
      <c r="H612" s="11"/>
    </row>
    <row r="613">
      <c r="D613" s="10"/>
      <c r="E613" s="10"/>
      <c r="G613" s="11"/>
      <c r="H613" s="11"/>
    </row>
    <row r="614">
      <c r="D614" s="10"/>
      <c r="E614" s="10"/>
      <c r="G614" s="11"/>
      <c r="H614" s="11"/>
    </row>
    <row r="615">
      <c r="D615" s="10"/>
      <c r="E615" s="10"/>
      <c r="G615" s="11"/>
      <c r="H615" s="11"/>
    </row>
    <row r="616">
      <c r="D616" s="10"/>
      <c r="E616" s="10"/>
      <c r="G616" s="11"/>
      <c r="H616" s="11"/>
    </row>
    <row r="617">
      <c r="D617" s="10"/>
      <c r="E617" s="10"/>
      <c r="G617" s="11"/>
      <c r="H617" s="11"/>
    </row>
    <row r="618">
      <c r="D618" s="10"/>
      <c r="E618" s="10"/>
      <c r="G618" s="11"/>
      <c r="H618" s="11"/>
    </row>
    <row r="619">
      <c r="D619" s="10"/>
      <c r="E619" s="10"/>
      <c r="G619" s="11"/>
      <c r="H619" s="11"/>
    </row>
    <row r="620">
      <c r="D620" s="10"/>
      <c r="E620" s="10"/>
      <c r="G620" s="11"/>
      <c r="H620" s="11"/>
    </row>
    <row r="621">
      <c r="D621" s="10"/>
      <c r="E621" s="10"/>
      <c r="G621" s="11"/>
      <c r="H621" s="11"/>
    </row>
    <row r="622">
      <c r="D622" s="10"/>
      <c r="E622" s="10"/>
      <c r="G622" s="11"/>
      <c r="H622" s="11"/>
    </row>
    <row r="623">
      <c r="D623" s="10"/>
      <c r="E623" s="10"/>
      <c r="G623" s="11"/>
      <c r="H623" s="11"/>
    </row>
    <row r="624">
      <c r="D624" s="10"/>
      <c r="E624" s="10"/>
      <c r="G624" s="11"/>
      <c r="H624" s="11"/>
    </row>
    <row r="625">
      <c r="D625" s="10"/>
      <c r="E625" s="10"/>
      <c r="G625" s="11"/>
      <c r="H625" s="11"/>
    </row>
    <row r="626">
      <c r="D626" s="10"/>
      <c r="E626" s="10"/>
      <c r="G626" s="11"/>
      <c r="H626" s="11"/>
    </row>
    <row r="627">
      <c r="D627" s="10"/>
      <c r="E627" s="10"/>
      <c r="G627" s="11"/>
      <c r="H627" s="11"/>
    </row>
    <row r="628">
      <c r="D628" s="10"/>
      <c r="E628" s="10"/>
      <c r="G628" s="11"/>
      <c r="H628" s="11"/>
    </row>
    <row r="629">
      <c r="D629" s="10"/>
      <c r="E629" s="10"/>
      <c r="G629" s="11"/>
      <c r="H629" s="11"/>
    </row>
    <row r="630">
      <c r="D630" s="10"/>
      <c r="E630" s="10"/>
      <c r="G630" s="11"/>
      <c r="H630" s="11"/>
    </row>
    <row r="631">
      <c r="D631" s="10"/>
      <c r="E631" s="10"/>
      <c r="G631" s="11"/>
      <c r="H631" s="11"/>
    </row>
    <row r="632">
      <c r="D632" s="10"/>
      <c r="E632" s="10"/>
      <c r="G632" s="11"/>
      <c r="H632" s="11"/>
    </row>
    <row r="633">
      <c r="D633" s="10"/>
      <c r="E633" s="10"/>
      <c r="G633" s="11"/>
      <c r="H633" s="11"/>
    </row>
    <row r="634">
      <c r="D634" s="10"/>
      <c r="E634" s="10"/>
      <c r="G634" s="11"/>
      <c r="H634" s="11"/>
    </row>
    <row r="635">
      <c r="D635" s="10"/>
      <c r="E635" s="10"/>
      <c r="G635" s="11"/>
      <c r="H635" s="11"/>
    </row>
    <row r="636">
      <c r="D636" s="10"/>
      <c r="E636" s="10"/>
      <c r="G636" s="11"/>
      <c r="H636" s="11"/>
    </row>
    <row r="637">
      <c r="D637" s="10"/>
      <c r="E637" s="10"/>
      <c r="G637" s="11"/>
      <c r="H637" s="11"/>
    </row>
    <row r="638">
      <c r="D638" s="10"/>
      <c r="E638" s="10"/>
      <c r="G638" s="11"/>
      <c r="H638" s="11"/>
    </row>
    <row r="639">
      <c r="D639" s="10"/>
      <c r="E639" s="10"/>
      <c r="G639" s="11"/>
      <c r="H639" s="11"/>
    </row>
    <row r="640">
      <c r="D640" s="10"/>
      <c r="E640" s="10"/>
      <c r="G640" s="11"/>
      <c r="H640" s="11"/>
    </row>
    <row r="641">
      <c r="D641" s="10"/>
      <c r="E641" s="10"/>
      <c r="G641" s="11"/>
      <c r="H641" s="11"/>
    </row>
    <row r="642">
      <c r="D642" s="10"/>
      <c r="E642" s="10"/>
      <c r="G642" s="11"/>
      <c r="H642" s="11"/>
    </row>
    <row r="643">
      <c r="D643" s="10"/>
      <c r="E643" s="10"/>
      <c r="G643" s="11"/>
      <c r="H643" s="11"/>
    </row>
    <row r="644">
      <c r="D644" s="10"/>
      <c r="E644" s="10"/>
      <c r="G644" s="11"/>
      <c r="H644" s="11"/>
    </row>
    <row r="645">
      <c r="D645" s="10"/>
      <c r="E645" s="10"/>
      <c r="G645" s="11"/>
      <c r="H645" s="11"/>
    </row>
    <row r="646">
      <c r="D646" s="10"/>
      <c r="E646" s="10"/>
      <c r="G646" s="11"/>
      <c r="H646" s="11"/>
    </row>
    <row r="647">
      <c r="D647" s="10"/>
      <c r="E647" s="10"/>
      <c r="G647" s="11"/>
      <c r="H647" s="11"/>
    </row>
    <row r="648">
      <c r="D648" s="10"/>
      <c r="E648" s="10"/>
      <c r="G648" s="11"/>
      <c r="H648" s="11"/>
    </row>
    <row r="649">
      <c r="D649" s="10"/>
      <c r="E649" s="10"/>
      <c r="G649" s="11"/>
      <c r="H649" s="11"/>
    </row>
    <row r="650">
      <c r="D650" s="10"/>
      <c r="E650" s="10"/>
      <c r="G650" s="11"/>
      <c r="H650" s="11"/>
    </row>
    <row r="651">
      <c r="D651" s="10"/>
      <c r="E651" s="10"/>
      <c r="G651" s="11"/>
      <c r="H651" s="11"/>
    </row>
    <row r="652">
      <c r="D652" s="10"/>
      <c r="E652" s="10"/>
      <c r="G652" s="11"/>
      <c r="H652" s="11"/>
    </row>
    <row r="653">
      <c r="D653" s="10"/>
      <c r="E653" s="10"/>
      <c r="G653" s="11"/>
      <c r="H653" s="11"/>
    </row>
    <row r="654">
      <c r="D654" s="10"/>
      <c r="E654" s="10"/>
      <c r="G654" s="11"/>
      <c r="H654" s="11"/>
    </row>
    <row r="655">
      <c r="D655" s="10"/>
      <c r="E655" s="10"/>
      <c r="G655" s="11"/>
      <c r="H655" s="11"/>
    </row>
    <row r="656">
      <c r="D656" s="10"/>
      <c r="E656" s="10"/>
      <c r="G656" s="11"/>
      <c r="H656" s="11"/>
    </row>
    <row r="657">
      <c r="D657" s="10"/>
      <c r="E657" s="10"/>
      <c r="G657" s="11"/>
      <c r="H657" s="11"/>
    </row>
    <row r="658">
      <c r="D658" s="10"/>
      <c r="E658" s="10"/>
      <c r="G658" s="11"/>
      <c r="H658" s="11"/>
    </row>
    <row r="659">
      <c r="D659" s="10"/>
      <c r="E659" s="10"/>
      <c r="G659" s="11"/>
      <c r="H659" s="11"/>
    </row>
    <row r="660">
      <c r="D660" s="10"/>
      <c r="E660" s="10"/>
      <c r="G660" s="11"/>
      <c r="H660" s="11"/>
    </row>
    <row r="661">
      <c r="D661" s="10"/>
      <c r="E661" s="10"/>
      <c r="G661" s="11"/>
      <c r="H661" s="11"/>
    </row>
    <row r="662">
      <c r="D662" s="10"/>
      <c r="E662" s="10"/>
      <c r="G662" s="11"/>
      <c r="H662" s="11"/>
    </row>
    <row r="663">
      <c r="D663" s="10"/>
      <c r="E663" s="10"/>
      <c r="G663" s="11"/>
      <c r="H663" s="11"/>
    </row>
    <row r="664">
      <c r="D664" s="10"/>
      <c r="E664" s="10"/>
      <c r="G664" s="11"/>
      <c r="H664" s="11"/>
    </row>
    <row r="665">
      <c r="D665" s="10"/>
      <c r="E665" s="10"/>
      <c r="G665" s="11"/>
      <c r="H665" s="11"/>
    </row>
    <row r="666">
      <c r="D666" s="10"/>
      <c r="E666" s="10"/>
      <c r="G666" s="11"/>
      <c r="H666" s="11"/>
    </row>
    <row r="667">
      <c r="D667" s="10"/>
      <c r="E667" s="10"/>
      <c r="G667" s="11"/>
      <c r="H667" s="11"/>
    </row>
    <row r="668">
      <c r="D668" s="10"/>
      <c r="E668" s="10"/>
      <c r="G668" s="11"/>
      <c r="H668" s="11"/>
    </row>
    <row r="669">
      <c r="D669" s="10"/>
      <c r="E669" s="10"/>
      <c r="G669" s="11"/>
      <c r="H669" s="11"/>
    </row>
    <row r="670">
      <c r="D670" s="10"/>
      <c r="E670" s="10"/>
      <c r="G670" s="11"/>
      <c r="H670" s="11"/>
    </row>
    <row r="671">
      <c r="D671" s="10"/>
      <c r="E671" s="10"/>
      <c r="G671" s="11"/>
      <c r="H671" s="11"/>
    </row>
    <row r="672">
      <c r="D672" s="10"/>
      <c r="E672" s="10"/>
      <c r="G672" s="11"/>
      <c r="H672" s="11"/>
    </row>
    <row r="673">
      <c r="D673" s="10"/>
      <c r="E673" s="10"/>
      <c r="G673" s="11"/>
      <c r="H673" s="11"/>
    </row>
    <row r="674">
      <c r="D674" s="10"/>
      <c r="E674" s="10"/>
      <c r="G674" s="11"/>
      <c r="H674" s="11"/>
    </row>
    <row r="675">
      <c r="D675" s="10"/>
      <c r="E675" s="10"/>
      <c r="G675" s="11"/>
      <c r="H675" s="11"/>
    </row>
    <row r="676">
      <c r="D676" s="10"/>
      <c r="E676" s="10"/>
      <c r="G676" s="11"/>
      <c r="H676" s="11"/>
    </row>
    <row r="677">
      <c r="D677" s="10"/>
      <c r="E677" s="10"/>
      <c r="G677" s="11"/>
      <c r="H677" s="11"/>
    </row>
    <row r="678">
      <c r="D678" s="10"/>
      <c r="E678" s="10"/>
      <c r="G678" s="11"/>
      <c r="H678" s="11"/>
    </row>
    <row r="679">
      <c r="D679" s="10"/>
      <c r="E679" s="10"/>
      <c r="G679" s="11"/>
      <c r="H679" s="11"/>
    </row>
    <row r="680">
      <c r="D680" s="10"/>
      <c r="E680" s="10"/>
      <c r="G680" s="11"/>
      <c r="H680" s="11"/>
    </row>
    <row r="681">
      <c r="D681" s="10"/>
      <c r="E681" s="10"/>
      <c r="G681" s="11"/>
      <c r="H681" s="11"/>
    </row>
    <row r="682">
      <c r="D682" s="10"/>
      <c r="E682" s="10"/>
      <c r="G682" s="11"/>
      <c r="H682" s="11"/>
    </row>
    <row r="683">
      <c r="D683" s="10"/>
      <c r="E683" s="10"/>
      <c r="G683" s="11"/>
      <c r="H683" s="11"/>
    </row>
    <row r="684">
      <c r="D684" s="10"/>
      <c r="E684" s="10"/>
      <c r="G684" s="11"/>
      <c r="H684" s="11"/>
    </row>
    <row r="685">
      <c r="D685" s="10"/>
      <c r="E685" s="10"/>
      <c r="G685" s="11"/>
      <c r="H685" s="11"/>
    </row>
    <row r="686">
      <c r="D686" s="10"/>
      <c r="E686" s="10"/>
      <c r="G686" s="11"/>
      <c r="H686" s="11"/>
    </row>
    <row r="687">
      <c r="D687" s="10"/>
      <c r="E687" s="10"/>
      <c r="G687" s="11"/>
      <c r="H687" s="11"/>
    </row>
    <row r="688">
      <c r="D688" s="10"/>
      <c r="E688" s="10"/>
      <c r="G688" s="11"/>
      <c r="H688" s="11"/>
    </row>
    <row r="689">
      <c r="D689" s="10"/>
      <c r="E689" s="10"/>
      <c r="G689" s="11"/>
      <c r="H689" s="11"/>
    </row>
    <row r="690">
      <c r="D690" s="10"/>
      <c r="E690" s="10"/>
      <c r="G690" s="11"/>
      <c r="H690" s="11"/>
    </row>
    <row r="691">
      <c r="D691" s="10"/>
      <c r="E691" s="10"/>
      <c r="G691" s="11"/>
      <c r="H691" s="11"/>
    </row>
    <row r="692">
      <c r="D692" s="10"/>
      <c r="E692" s="10"/>
      <c r="G692" s="11"/>
      <c r="H692" s="11"/>
    </row>
    <row r="693">
      <c r="D693" s="10"/>
      <c r="E693" s="10"/>
      <c r="G693" s="11"/>
      <c r="H693" s="11"/>
    </row>
    <row r="694">
      <c r="D694" s="10"/>
      <c r="E694" s="10"/>
      <c r="G694" s="11"/>
      <c r="H694" s="11"/>
    </row>
    <row r="695">
      <c r="D695" s="10"/>
      <c r="E695" s="10"/>
      <c r="G695" s="11"/>
      <c r="H695" s="11"/>
    </row>
    <row r="696">
      <c r="D696" s="10"/>
      <c r="E696" s="10"/>
      <c r="G696" s="11"/>
      <c r="H696" s="11"/>
    </row>
    <row r="697">
      <c r="D697" s="10"/>
      <c r="E697" s="10"/>
      <c r="G697" s="11"/>
      <c r="H697" s="11"/>
    </row>
    <row r="698">
      <c r="D698" s="10"/>
      <c r="E698" s="10"/>
      <c r="G698" s="11"/>
      <c r="H698" s="11"/>
    </row>
    <row r="699">
      <c r="D699" s="10"/>
      <c r="E699" s="10"/>
      <c r="G699" s="11"/>
      <c r="H699" s="11"/>
    </row>
    <row r="700">
      <c r="D700" s="10"/>
      <c r="E700" s="10"/>
      <c r="G700" s="11"/>
      <c r="H700" s="11"/>
    </row>
    <row r="701">
      <c r="D701" s="10"/>
      <c r="E701" s="10"/>
      <c r="G701" s="11"/>
      <c r="H701" s="11"/>
    </row>
    <row r="702">
      <c r="D702" s="10"/>
      <c r="E702" s="10"/>
      <c r="G702" s="11"/>
      <c r="H702" s="11"/>
    </row>
    <row r="703">
      <c r="D703" s="10"/>
      <c r="E703" s="10"/>
      <c r="G703" s="11"/>
      <c r="H703" s="11"/>
    </row>
    <row r="704">
      <c r="D704" s="10"/>
      <c r="E704" s="10"/>
      <c r="G704" s="11"/>
      <c r="H704" s="11"/>
    </row>
    <row r="705">
      <c r="D705" s="10"/>
      <c r="E705" s="10"/>
      <c r="G705" s="11"/>
      <c r="H705" s="11"/>
    </row>
    <row r="706">
      <c r="D706" s="10"/>
      <c r="E706" s="10"/>
      <c r="G706" s="11"/>
      <c r="H706" s="11"/>
    </row>
    <row r="707">
      <c r="D707" s="10"/>
      <c r="E707" s="10"/>
      <c r="G707" s="11"/>
      <c r="H707" s="11"/>
    </row>
    <row r="708">
      <c r="D708" s="10"/>
      <c r="E708" s="10"/>
      <c r="G708" s="11"/>
      <c r="H708" s="11"/>
    </row>
    <row r="709">
      <c r="D709" s="10"/>
      <c r="E709" s="10"/>
      <c r="G709" s="11"/>
      <c r="H709" s="11"/>
    </row>
    <row r="710">
      <c r="D710" s="10"/>
      <c r="E710" s="10"/>
      <c r="G710" s="11"/>
      <c r="H710" s="11"/>
    </row>
    <row r="711">
      <c r="D711" s="10"/>
      <c r="E711" s="10"/>
      <c r="G711" s="11"/>
      <c r="H711" s="11"/>
    </row>
    <row r="712">
      <c r="D712" s="10"/>
      <c r="E712" s="10"/>
      <c r="G712" s="11"/>
      <c r="H712" s="11"/>
    </row>
    <row r="713">
      <c r="D713" s="10"/>
      <c r="E713" s="10"/>
      <c r="G713" s="11"/>
      <c r="H713" s="11"/>
    </row>
    <row r="714">
      <c r="D714" s="10"/>
      <c r="E714" s="10"/>
      <c r="G714" s="11"/>
      <c r="H714" s="11"/>
    </row>
    <row r="715">
      <c r="D715" s="10"/>
      <c r="E715" s="10"/>
      <c r="G715" s="11"/>
      <c r="H715" s="11"/>
    </row>
    <row r="716">
      <c r="D716" s="10"/>
      <c r="E716" s="10"/>
      <c r="G716" s="11"/>
      <c r="H716" s="11"/>
    </row>
    <row r="717">
      <c r="D717" s="10"/>
      <c r="E717" s="10"/>
      <c r="G717" s="11"/>
      <c r="H717" s="11"/>
    </row>
    <row r="718">
      <c r="D718" s="10"/>
      <c r="E718" s="10"/>
      <c r="G718" s="11"/>
      <c r="H718" s="11"/>
    </row>
    <row r="719">
      <c r="D719" s="10"/>
      <c r="E719" s="10"/>
      <c r="G719" s="11"/>
      <c r="H719" s="11"/>
    </row>
    <row r="720">
      <c r="D720" s="10"/>
      <c r="E720" s="10"/>
      <c r="G720" s="11"/>
      <c r="H720" s="11"/>
    </row>
    <row r="721">
      <c r="D721" s="10"/>
      <c r="E721" s="10"/>
      <c r="G721" s="11"/>
      <c r="H721" s="11"/>
    </row>
    <row r="722">
      <c r="D722" s="10"/>
      <c r="E722" s="10"/>
      <c r="G722" s="11"/>
      <c r="H722" s="11"/>
    </row>
    <row r="723">
      <c r="D723" s="10"/>
      <c r="E723" s="10"/>
      <c r="G723" s="11"/>
      <c r="H723" s="11"/>
    </row>
    <row r="724">
      <c r="D724" s="10"/>
      <c r="E724" s="10"/>
      <c r="G724" s="11"/>
      <c r="H724" s="11"/>
    </row>
    <row r="725">
      <c r="D725" s="10"/>
      <c r="E725" s="10"/>
      <c r="G725" s="11"/>
      <c r="H725" s="11"/>
    </row>
    <row r="726">
      <c r="D726" s="10"/>
      <c r="E726" s="10"/>
      <c r="G726" s="11"/>
      <c r="H726" s="11"/>
    </row>
    <row r="727">
      <c r="D727" s="10"/>
      <c r="E727" s="10"/>
      <c r="G727" s="11"/>
      <c r="H727" s="11"/>
    </row>
    <row r="728">
      <c r="D728" s="10"/>
      <c r="E728" s="10"/>
      <c r="G728" s="11"/>
      <c r="H728" s="11"/>
    </row>
    <row r="729">
      <c r="D729" s="10"/>
      <c r="E729" s="10"/>
      <c r="G729" s="11"/>
      <c r="H729" s="11"/>
    </row>
    <row r="730">
      <c r="D730" s="10"/>
      <c r="E730" s="10"/>
      <c r="G730" s="11"/>
      <c r="H730" s="11"/>
    </row>
    <row r="731">
      <c r="D731" s="10"/>
      <c r="E731" s="10"/>
      <c r="G731" s="11"/>
      <c r="H731" s="11"/>
    </row>
    <row r="732">
      <c r="D732" s="10"/>
      <c r="E732" s="10"/>
      <c r="G732" s="11"/>
      <c r="H732" s="11"/>
    </row>
    <row r="733">
      <c r="D733" s="10"/>
      <c r="E733" s="10"/>
      <c r="G733" s="11"/>
      <c r="H733" s="11"/>
    </row>
    <row r="734">
      <c r="D734" s="10"/>
      <c r="E734" s="10"/>
      <c r="G734" s="11"/>
      <c r="H734" s="11"/>
    </row>
    <row r="735">
      <c r="D735" s="10"/>
      <c r="E735" s="10"/>
      <c r="G735" s="11"/>
      <c r="H735" s="11"/>
    </row>
    <row r="736">
      <c r="D736" s="10"/>
      <c r="E736" s="10"/>
      <c r="G736" s="11"/>
      <c r="H736" s="11"/>
    </row>
    <row r="737">
      <c r="D737" s="10"/>
      <c r="E737" s="10"/>
      <c r="G737" s="11"/>
      <c r="H737" s="11"/>
    </row>
    <row r="738">
      <c r="D738" s="10"/>
      <c r="E738" s="10"/>
      <c r="G738" s="11"/>
      <c r="H738" s="11"/>
    </row>
    <row r="739">
      <c r="D739" s="10"/>
      <c r="E739" s="10"/>
      <c r="G739" s="11"/>
      <c r="H739" s="11"/>
    </row>
    <row r="740">
      <c r="D740" s="10"/>
      <c r="E740" s="10"/>
      <c r="G740" s="11"/>
      <c r="H740" s="11"/>
    </row>
    <row r="741">
      <c r="D741" s="10"/>
      <c r="E741" s="10"/>
      <c r="G741" s="11"/>
      <c r="H741" s="11"/>
    </row>
    <row r="742">
      <c r="D742" s="10"/>
      <c r="E742" s="10"/>
      <c r="G742" s="11"/>
      <c r="H742" s="11"/>
    </row>
    <row r="743">
      <c r="D743" s="10"/>
      <c r="E743" s="10"/>
      <c r="G743" s="11"/>
      <c r="H743" s="11"/>
    </row>
    <row r="744">
      <c r="D744" s="10"/>
      <c r="E744" s="10"/>
      <c r="G744" s="11"/>
      <c r="H744" s="11"/>
    </row>
    <row r="745">
      <c r="D745" s="10"/>
      <c r="E745" s="10"/>
      <c r="G745" s="11"/>
      <c r="H745" s="11"/>
    </row>
    <row r="746">
      <c r="D746" s="10"/>
      <c r="E746" s="10"/>
      <c r="G746" s="11"/>
      <c r="H746" s="11"/>
    </row>
    <row r="747">
      <c r="D747" s="10"/>
      <c r="E747" s="10"/>
      <c r="G747" s="11"/>
      <c r="H747" s="11"/>
    </row>
    <row r="748">
      <c r="D748" s="10"/>
      <c r="E748" s="10"/>
      <c r="G748" s="11"/>
      <c r="H748" s="11"/>
    </row>
    <row r="749">
      <c r="D749" s="10"/>
      <c r="E749" s="10"/>
      <c r="G749" s="11"/>
      <c r="H749" s="11"/>
    </row>
    <row r="750">
      <c r="D750" s="10"/>
      <c r="E750" s="10"/>
      <c r="G750" s="11"/>
      <c r="H750" s="11"/>
    </row>
    <row r="751">
      <c r="D751" s="10"/>
      <c r="E751" s="10"/>
      <c r="G751" s="11"/>
      <c r="H751" s="11"/>
    </row>
    <row r="752">
      <c r="D752" s="10"/>
      <c r="E752" s="10"/>
      <c r="G752" s="11"/>
      <c r="H752" s="11"/>
    </row>
    <row r="753">
      <c r="D753" s="10"/>
      <c r="E753" s="10"/>
      <c r="G753" s="11"/>
      <c r="H753" s="11"/>
    </row>
    <row r="754">
      <c r="D754" s="10"/>
      <c r="E754" s="10"/>
      <c r="G754" s="11"/>
      <c r="H754" s="11"/>
    </row>
    <row r="755">
      <c r="D755" s="10"/>
      <c r="E755" s="10"/>
      <c r="G755" s="11"/>
      <c r="H755" s="11"/>
    </row>
    <row r="756">
      <c r="D756" s="10"/>
      <c r="E756" s="10"/>
      <c r="G756" s="11"/>
      <c r="H756" s="11"/>
    </row>
    <row r="757">
      <c r="D757" s="10"/>
      <c r="E757" s="10"/>
      <c r="G757" s="11"/>
      <c r="H757" s="11"/>
    </row>
    <row r="758">
      <c r="D758" s="10"/>
      <c r="E758" s="10"/>
      <c r="G758" s="11"/>
      <c r="H758" s="11"/>
    </row>
    <row r="759">
      <c r="D759" s="10"/>
      <c r="E759" s="10"/>
      <c r="G759" s="11"/>
      <c r="H759" s="11"/>
    </row>
    <row r="760">
      <c r="D760" s="10"/>
      <c r="E760" s="10"/>
      <c r="G760" s="11"/>
      <c r="H760" s="11"/>
    </row>
    <row r="761">
      <c r="D761" s="10"/>
      <c r="E761" s="10"/>
      <c r="G761" s="11"/>
      <c r="H761" s="11"/>
    </row>
    <row r="762">
      <c r="D762" s="10"/>
      <c r="E762" s="10"/>
      <c r="G762" s="11"/>
      <c r="H762" s="11"/>
    </row>
    <row r="763">
      <c r="D763" s="10"/>
      <c r="E763" s="10"/>
      <c r="G763" s="11"/>
      <c r="H763" s="11"/>
    </row>
    <row r="764">
      <c r="D764" s="10"/>
      <c r="E764" s="10"/>
      <c r="G764" s="11"/>
      <c r="H764" s="11"/>
    </row>
    <row r="765">
      <c r="D765" s="10"/>
      <c r="E765" s="10"/>
      <c r="G765" s="11"/>
      <c r="H765" s="11"/>
    </row>
    <row r="766">
      <c r="D766" s="10"/>
      <c r="E766" s="10"/>
      <c r="G766" s="11"/>
      <c r="H766" s="11"/>
    </row>
    <row r="767">
      <c r="D767" s="10"/>
      <c r="E767" s="10"/>
      <c r="G767" s="11"/>
      <c r="H767" s="11"/>
    </row>
    <row r="768">
      <c r="D768" s="10"/>
      <c r="E768" s="10"/>
      <c r="G768" s="11"/>
      <c r="H768" s="11"/>
    </row>
    <row r="769">
      <c r="D769" s="10"/>
      <c r="E769" s="10"/>
      <c r="G769" s="11"/>
      <c r="H769" s="11"/>
    </row>
    <row r="770">
      <c r="D770" s="10"/>
      <c r="E770" s="10"/>
      <c r="G770" s="11"/>
      <c r="H770" s="11"/>
    </row>
    <row r="771">
      <c r="D771" s="10"/>
      <c r="E771" s="10"/>
      <c r="G771" s="11"/>
      <c r="H771" s="11"/>
    </row>
    <row r="772">
      <c r="D772" s="10"/>
      <c r="E772" s="10"/>
      <c r="G772" s="11"/>
      <c r="H772" s="11"/>
    </row>
    <row r="773">
      <c r="D773" s="10"/>
      <c r="E773" s="10"/>
      <c r="G773" s="11"/>
      <c r="H773" s="11"/>
    </row>
    <row r="774">
      <c r="D774" s="10"/>
      <c r="E774" s="10"/>
      <c r="G774" s="11"/>
      <c r="H774" s="11"/>
    </row>
    <row r="775">
      <c r="D775" s="10"/>
      <c r="E775" s="10"/>
      <c r="G775" s="11"/>
      <c r="H775" s="11"/>
    </row>
    <row r="776">
      <c r="D776" s="10"/>
      <c r="E776" s="10"/>
      <c r="G776" s="11"/>
      <c r="H776" s="11"/>
    </row>
    <row r="777">
      <c r="D777" s="10"/>
      <c r="E777" s="10"/>
      <c r="G777" s="11"/>
      <c r="H777" s="11"/>
    </row>
    <row r="778">
      <c r="D778" s="10"/>
      <c r="E778" s="10"/>
      <c r="G778" s="11"/>
      <c r="H778" s="11"/>
    </row>
    <row r="779">
      <c r="D779" s="10"/>
      <c r="E779" s="10"/>
      <c r="G779" s="11"/>
      <c r="H779" s="11"/>
    </row>
    <row r="780">
      <c r="D780" s="10"/>
      <c r="E780" s="10"/>
      <c r="G780" s="11"/>
      <c r="H780" s="11"/>
    </row>
    <row r="781">
      <c r="D781" s="10"/>
      <c r="E781" s="10"/>
      <c r="G781" s="11"/>
      <c r="H781" s="11"/>
    </row>
    <row r="782">
      <c r="D782" s="10"/>
      <c r="E782" s="10"/>
      <c r="G782" s="11"/>
      <c r="H782" s="11"/>
    </row>
    <row r="783">
      <c r="D783" s="10"/>
      <c r="E783" s="10"/>
      <c r="G783" s="11"/>
      <c r="H783" s="11"/>
    </row>
    <row r="784">
      <c r="D784" s="10"/>
      <c r="E784" s="10"/>
      <c r="G784" s="11"/>
      <c r="H784" s="11"/>
    </row>
    <row r="785">
      <c r="D785" s="10"/>
      <c r="E785" s="10"/>
      <c r="G785" s="11"/>
      <c r="H785" s="11"/>
    </row>
    <row r="786">
      <c r="D786" s="10"/>
      <c r="E786" s="10"/>
      <c r="G786" s="11"/>
      <c r="H786" s="11"/>
    </row>
    <row r="787">
      <c r="D787" s="10"/>
      <c r="E787" s="10"/>
      <c r="G787" s="11"/>
      <c r="H787" s="11"/>
    </row>
    <row r="788">
      <c r="D788" s="10"/>
      <c r="E788" s="10"/>
      <c r="G788" s="11"/>
      <c r="H788" s="11"/>
    </row>
    <row r="789">
      <c r="D789" s="10"/>
      <c r="E789" s="10"/>
      <c r="G789" s="11"/>
      <c r="H789" s="11"/>
    </row>
    <row r="790">
      <c r="D790" s="10"/>
      <c r="E790" s="10"/>
      <c r="G790" s="11"/>
      <c r="H790" s="11"/>
    </row>
    <row r="791">
      <c r="D791" s="10"/>
      <c r="E791" s="10"/>
      <c r="G791" s="11"/>
      <c r="H791" s="11"/>
    </row>
    <row r="792">
      <c r="D792" s="10"/>
      <c r="E792" s="10"/>
      <c r="G792" s="11"/>
      <c r="H792" s="11"/>
    </row>
    <row r="793">
      <c r="D793" s="10"/>
      <c r="E793" s="10"/>
      <c r="G793" s="11"/>
      <c r="H793" s="11"/>
    </row>
    <row r="794">
      <c r="D794" s="10"/>
      <c r="E794" s="10"/>
      <c r="G794" s="11"/>
      <c r="H794" s="11"/>
    </row>
    <row r="795">
      <c r="D795" s="10"/>
      <c r="E795" s="10"/>
      <c r="G795" s="11"/>
      <c r="H795" s="11"/>
    </row>
    <row r="796">
      <c r="D796" s="10"/>
      <c r="E796" s="10"/>
      <c r="G796" s="11"/>
      <c r="H796" s="11"/>
    </row>
    <row r="797">
      <c r="D797" s="10"/>
      <c r="E797" s="10"/>
      <c r="G797" s="11"/>
      <c r="H797" s="11"/>
    </row>
    <row r="798">
      <c r="D798" s="10"/>
      <c r="E798" s="10"/>
      <c r="G798" s="11"/>
      <c r="H798" s="11"/>
    </row>
    <row r="799">
      <c r="D799" s="10"/>
      <c r="E799" s="10"/>
      <c r="G799" s="11"/>
      <c r="H799" s="11"/>
    </row>
    <row r="800">
      <c r="D800" s="10"/>
      <c r="E800" s="10"/>
      <c r="G800" s="11"/>
      <c r="H800" s="11"/>
    </row>
    <row r="801">
      <c r="D801" s="10"/>
      <c r="E801" s="10"/>
      <c r="G801" s="11"/>
      <c r="H801" s="11"/>
    </row>
    <row r="802">
      <c r="D802" s="10"/>
      <c r="E802" s="10"/>
      <c r="G802" s="11"/>
      <c r="H802" s="11"/>
    </row>
    <row r="803">
      <c r="D803" s="10"/>
      <c r="E803" s="10"/>
      <c r="G803" s="11"/>
      <c r="H803" s="11"/>
    </row>
    <row r="804">
      <c r="D804" s="10"/>
      <c r="E804" s="10"/>
      <c r="G804" s="11"/>
      <c r="H804" s="11"/>
    </row>
    <row r="805">
      <c r="D805" s="10"/>
      <c r="E805" s="10"/>
      <c r="G805" s="11"/>
      <c r="H805" s="11"/>
    </row>
    <row r="806">
      <c r="D806" s="10"/>
      <c r="E806" s="10"/>
      <c r="G806" s="11"/>
      <c r="H806" s="11"/>
    </row>
    <row r="807">
      <c r="D807" s="10"/>
      <c r="E807" s="10"/>
      <c r="G807" s="11"/>
      <c r="H807" s="11"/>
    </row>
    <row r="808">
      <c r="D808" s="10"/>
      <c r="E808" s="10"/>
      <c r="G808" s="11"/>
      <c r="H808" s="11"/>
    </row>
    <row r="809">
      <c r="D809" s="10"/>
      <c r="E809" s="10"/>
      <c r="G809" s="11"/>
      <c r="H809" s="11"/>
    </row>
    <row r="810">
      <c r="D810" s="10"/>
      <c r="E810" s="10"/>
      <c r="G810" s="11"/>
      <c r="H810" s="11"/>
    </row>
    <row r="811">
      <c r="D811" s="10"/>
      <c r="E811" s="10"/>
      <c r="G811" s="11"/>
      <c r="H811" s="11"/>
    </row>
    <row r="812">
      <c r="D812" s="10"/>
      <c r="E812" s="10"/>
      <c r="G812" s="11"/>
      <c r="H812" s="11"/>
    </row>
    <row r="813">
      <c r="D813" s="10"/>
      <c r="E813" s="10"/>
      <c r="G813" s="11"/>
      <c r="H813" s="11"/>
    </row>
    <row r="814">
      <c r="D814" s="10"/>
      <c r="E814" s="10"/>
      <c r="G814" s="11"/>
      <c r="H814" s="11"/>
    </row>
    <row r="815">
      <c r="D815" s="10"/>
      <c r="E815" s="10"/>
      <c r="G815" s="11"/>
      <c r="H815" s="11"/>
    </row>
    <row r="816">
      <c r="D816" s="10"/>
      <c r="E816" s="10"/>
      <c r="G816" s="11"/>
      <c r="H816" s="11"/>
    </row>
    <row r="817">
      <c r="D817" s="10"/>
      <c r="E817" s="10"/>
      <c r="G817" s="11"/>
      <c r="H817" s="11"/>
    </row>
    <row r="818">
      <c r="D818" s="10"/>
      <c r="E818" s="10"/>
      <c r="G818" s="11"/>
      <c r="H818" s="11"/>
    </row>
    <row r="819">
      <c r="D819" s="10"/>
      <c r="E819" s="10"/>
      <c r="G819" s="11"/>
      <c r="H819" s="11"/>
    </row>
    <row r="820">
      <c r="D820" s="10"/>
      <c r="E820" s="10"/>
      <c r="G820" s="11"/>
      <c r="H820" s="11"/>
    </row>
    <row r="821">
      <c r="D821" s="10"/>
      <c r="E821" s="10"/>
      <c r="G821" s="11"/>
      <c r="H821" s="11"/>
    </row>
    <row r="822">
      <c r="D822" s="10"/>
      <c r="E822" s="10"/>
      <c r="G822" s="11"/>
      <c r="H822" s="11"/>
    </row>
    <row r="823">
      <c r="D823" s="10"/>
      <c r="E823" s="10"/>
      <c r="G823" s="11"/>
      <c r="H823" s="11"/>
    </row>
    <row r="824">
      <c r="D824" s="10"/>
      <c r="E824" s="10"/>
      <c r="G824" s="11"/>
      <c r="H824" s="11"/>
    </row>
    <row r="825">
      <c r="D825" s="10"/>
      <c r="E825" s="10"/>
      <c r="G825" s="11"/>
      <c r="H825" s="11"/>
    </row>
    <row r="826">
      <c r="D826" s="10"/>
      <c r="E826" s="10"/>
      <c r="G826" s="11"/>
      <c r="H826" s="11"/>
    </row>
    <row r="827">
      <c r="D827" s="10"/>
      <c r="E827" s="10"/>
      <c r="G827" s="11"/>
      <c r="H827" s="11"/>
    </row>
    <row r="828">
      <c r="D828" s="10"/>
      <c r="E828" s="10"/>
      <c r="G828" s="11"/>
      <c r="H828" s="11"/>
    </row>
    <row r="829">
      <c r="D829" s="10"/>
      <c r="E829" s="10"/>
      <c r="G829" s="11"/>
      <c r="H829" s="11"/>
    </row>
    <row r="830">
      <c r="D830" s="10"/>
      <c r="E830" s="10"/>
      <c r="G830" s="11"/>
      <c r="H830" s="11"/>
    </row>
    <row r="831">
      <c r="D831" s="10"/>
      <c r="E831" s="10"/>
      <c r="G831" s="11"/>
      <c r="H831" s="11"/>
    </row>
    <row r="832">
      <c r="D832" s="10"/>
      <c r="E832" s="10"/>
      <c r="G832" s="11"/>
      <c r="H832" s="11"/>
    </row>
    <row r="833">
      <c r="D833" s="10"/>
      <c r="E833" s="10"/>
      <c r="G833" s="11"/>
      <c r="H833" s="11"/>
    </row>
    <row r="834">
      <c r="D834" s="10"/>
      <c r="E834" s="10"/>
      <c r="G834" s="11"/>
      <c r="H834" s="11"/>
    </row>
    <row r="835">
      <c r="D835" s="10"/>
      <c r="E835" s="10"/>
      <c r="G835" s="11"/>
      <c r="H835" s="11"/>
    </row>
    <row r="836">
      <c r="D836" s="10"/>
      <c r="E836" s="10"/>
      <c r="G836" s="11"/>
      <c r="H836" s="11"/>
    </row>
    <row r="837">
      <c r="D837" s="10"/>
      <c r="E837" s="10"/>
      <c r="G837" s="11"/>
      <c r="H837" s="11"/>
    </row>
    <row r="838">
      <c r="D838" s="10"/>
      <c r="E838" s="10"/>
      <c r="G838" s="11"/>
      <c r="H838" s="11"/>
    </row>
    <row r="839">
      <c r="D839" s="10"/>
      <c r="E839" s="10"/>
      <c r="G839" s="11"/>
      <c r="H839" s="11"/>
    </row>
    <row r="840">
      <c r="D840" s="10"/>
      <c r="E840" s="10"/>
      <c r="G840" s="11"/>
      <c r="H840" s="11"/>
    </row>
    <row r="841">
      <c r="D841" s="10"/>
      <c r="E841" s="10"/>
      <c r="G841" s="11"/>
      <c r="H841" s="11"/>
    </row>
    <row r="842">
      <c r="D842" s="10"/>
      <c r="E842" s="10"/>
      <c r="G842" s="11"/>
      <c r="H842" s="11"/>
    </row>
    <row r="843">
      <c r="D843" s="10"/>
      <c r="E843" s="10"/>
      <c r="G843" s="11"/>
      <c r="H843" s="11"/>
    </row>
    <row r="844">
      <c r="D844" s="10"/>
      <c r="E844" s="10"/>
      <c r="G844" s="11"/>
      <c r="H844" s="11"/>
    </row>
    <row r="845">
      <c r="D845" s="10"/>
      <c r="E845" s="10"/>
      <c r="G845" s="11"/>
      <c r="H845" s="11"/>
    </row>
    <row r="846">
      <c r="D846" s="10"/>
      <c r="E846" s="10"/>
      <c r="G846" s="11"/>
      <c r="H846" s="11"/>
    </row>
    <row r="847">
      <c r="D847" s="10"/>
      <c r="E847" s="10"/>
      <c r="G847" s="11"/>
      <c r="H847" s="11"/>
    </row>
    <row r="848">
      <c r="D848" s="10"/>
      <c r="E848" s="10"/>
      <c r="G848" s="11"/>
      <c r="H848" s="11"/>
    </row>
    <row r="849">
      <c r="D849" s="10"/>
      <c r="E849" s="10"/>
      <c r="G849" s="11"/>
      <c r="H849" s="11"/>
    </row>
    <row r="850">
      <c r="D850" s="10"/>
      <c r="E850" s="10"/>
      <c r="G850" s="11"/>
      <c r="H850" s="11"/>
    </row>
    <row r="851">
      <c r="D851" s="10"/>
      <c r="E851" s="10"/>
      <c r="G851" s="11"/>
      <c r="H851" s="11"/>
    </row>
    <row r="852">
      <c r="D852" s="10"/>
      <c r="E852" s="10"/>
      <c r="G852" s="11"/>
      <c r="H852" s="11"/>
    </row>
    <row r="853">
      <c r="D853" s="10"/>
      <c r="E853" s="10"/>
      <c r="G853" s="11"/>
      <c r="H853" s="11"/>
    </row>
    <row r="854">
      <c r="D854" s="10"/>
      <c r="E854" s="10"/>
      <c r="G854" s="11"/>
      <c r="H854" s="11"/>
    </row>
    <row r="855">
      <c r="D855" s="10"/>
      <c r="E855" s="10"/>
      <c r="G855" s="11"/>
      <c r="H855" s="11"/>
    </row>
    <row r="856">
      <c r="D856" s="10"/>
      <c r="E856" s="10"/>
      <c r="G856" s="11"/>
      <c r="H856" s="11"/>
    </row>
    <row r="857">
      <c r="D857" s="10"/>
      <c r="E857" s="10"/>
      <c r="G857" s="11"/>
      <c r="H857" s="11"/>
    </row>
    <row r="858">
      <c r="D858" s="10"/>
      <c r="E858" s="10"/>
      <c r="G858" s="11"/>
      <c r="H858" s="11"/>
    </row>
    <row r="859">
      <c r="D859" s="10"/>
      <c r="E859" s="10"/>
      <c r="G859" s="11"/>
      <c r="H859" s="11"/>
    </row>
    <row r="860">
      <c r="D860" s="10"/>
      <c r="E860" s="10"/>
      <c r="G860" s="11"/>
      <c r="H860" s="11"/>
    </row>
    <row r="861">
      <c r="D861" s="10"/>
      <c r="E861" s="10"/>
      <c r="G861" s="11"/>
      <c r="H861" s="11"/>
    </row>
    <row r="862">
      <c r="D862" s="10"/>
      <c r="E862" s="10"/>
      <c r="G862" s="11"/>
      <c r="H862" s="11"/>
    </row>
    <row r="863">
      <c r="D863" s="10"/>
      <c r="E863" s="10"/>
      <c r="G863" s="11"/>
      <c r="H863" s="11"/>
    </row>
    <row r="864">
      <c r="D864" s="10"/>
      <c r="E864" s="10"/>
      <c r="G864" s="11"/>
      <c r="H864" s="11"/>
    </row>
    <row r="865">
      <c r="D865" s="10"/>
      <c r="E865" s="10"/>
      <c r="G865" s="11"/>
      <c r="H865" s="11"/>
    </row>
    <row r="866">
      <c r="D866" s="10"/>
      <c r="E866" s="10"/>
      <c r="G866" s="11"/>
      <c r="H866" s="11"/>
    </row>
    <row r="867">
      <c r="D867" s="10"/>
      <c r="E867" s="10"/>
      <c r="G867" s="11"/>
      <c r="H867" s="11"/>
    </row>
    <row r="868">
      <c r="D868" s="10"/>
      <c r="E868" s="10"/>
      <c r="G868" s="11"/>
      <c r="H868" s="11"/>
    </row>
    <row r="869">
      <c r="D869" s="10"/>
      <c r="E869" s="10"/>
      <c r="G869" s="11"/>
      <c r="H869" s="11"/>
    </row>
    <row r="870">
      <c r="D870" s="10"/>
      <c r="E870" s="10"/>
      <c r="G870" s="11"/>
      <c r="H870" s="11"/>
    </row>
    <row r="871">
      <c r="D871" s="10"/>
      <c r="E871" s="10"/>
      <c r="G871" s="11"/>
      <c r="H871" s="11"/>
    </row>
    <row r="872">
      <c r="D872" s="10"/>
      <c r="E872" s="10"/>
      <c r="G872" s="11"/>
      <c r="H872" s="11"/>
    </row>
    <row r="873">
      <c r="D873" s="10"/>
      <c r="E873" s="10"/>
      <c r="G873" s="11"/>
      <c r="H873" s="11"/>
    </row>
    <row r="874">
      <c r="D874" s="10"/>
      <c r="E874" s="10"/>
      <c r="G874" s="11"/>
      <c r="H874" s="11"/>
    </row>
    <row r="875">
      <c r="D875" s="10"/>
      <c r="E875" s="10"/>
      <c r="G875" s="11"/>
      <c r="H875" s="11"/>
    </row>
    <row r="876">
      <c r="D876" s="10"/>
      <c r="E876" s="10"/>
      <c r="G876" s="11"/>
      <c r="H876" s="11"/>
    </row>
    <row r="877">
      <c r="D877" s="10"/>
      <c r="E877" s="10"/>
      <c r="G877" s="11"/>
      <c r="H877" s="11"/>
    </row>
    <row r="878">
      <c r="D878" s="10"/>
      <c r="E878" s="10"/>
      <c r="G878" s="11"/>
      <c r="H878" s="11"/>
    </row>
    <row r="879">
      <c r="D879" s="10"/>
      <c r="E879" s="10"/>
      <c r="G879" s="11"/>
      <c r="H879" s="11"/>
    </row>
    <row r="880">
      <c r="D880" s="10"/>
      <c r="E880" s="10"/>
      <c r="G880" s="11"/>
      <c r="H880" s="11"/>
    </row>
    <row r="881">
      <c r="D881" s="10"/>
      <c r="E881" s="10"/>
      <c r="G881" s="11"/>
      <c r="H881" s="11"/>
    </row>
    <row r="882">
      <c r="D882" s="10"/>
      <c r="E882" s="10"/>
      <c r="G882" s="11"/>
      <c r="H882" s="11"/>
    </row>
    <row r="883">
      <c r="D883" s="10"/>
      <c r="E883" s="10"/>
      <c r="G883" s="11"/>
      <c r="H883" s="11"/>
    </row>
    <row r="884">
      <c r="D884" s="10"/>
      <c r="E884" s="10"/>
      <c r="G884" s="11"/>
      <c r="H884" s="11"/>
    </row>
    <row r="885">
      <c r="D885" s="10"/>
      <c r="E885" s="10"/>
      <c r="G885" s="11"/>
      <c r="H885" s="11"/>
    </row>
    <row r="886">
      <c r="D886" s="10"/>
      <c r="E886" s="10"/>
      <c r="G886" s="11"/>
      <c r="H886" s="11"/>
    </row>
    <row r="887">
      <c r="D887" s="10"/>
      <c r="E887" s="10"/>
      <c r="G887" s="11"/>
      <c r="H887" s="11"/>
    </row>
    <row r="888">
      <c r="D888" s="10"/>
      <c r="E888" s="10"/>
      <c r="G888" s="11"/>
      <c r="H888" s="11"/>
    </row>
    <row r="889">
      <c r="D889" s="10"/>
      <c r="E889" s="10"/>
      <c r="G889" s="11"/>
      <c r="H889" s="11"/>
    </row>
    <row r="890">
      <c r="D890" s="10"/>
      <c r="E890" s="10"/>
      <c r="G890" s="11"/>
      <c r="H890" s="11"/>
    </row>
    <row r="891">
      <c r="D891" s="10"/>
      <c r="E891" s="10"/>
      <c r="G891" s="11"/>
      <c r="H891" s="11"/>
    </row>
    <row r="892">
      <c r="D892" s="10"/>
      <c r="E892" s="10"/>
      <c r="G892" s="11"/>
      <c r="H892" s="11"/>
    </row>
    <row r="893">
      <c r="D893" s="10"/>
      <c r="E893" s="10"/>
      <c r="G893" s="11"/>
      <c r="H893" s="11"/>
    </row>
    <row r="894">
      <c r="D894" s="10"/>
      <c r="E894" s="10"/>
      <c r="G894" s="11"/>
      <c r="H894" s="11"/>
    </row>
    <row r="895">
      <c r="D895" s="10"/>
      <c r="E895" s="10"/>
      <c r="G895" s="11"/>
      <c r="H895" s="11"/>
    </row>
    <row r="896">
      <c r="D896" s="10"/>
      <c r="E896" s="10"/>
      <c r="G896" s="11"/>
      <c r="H896" s="11"/>
    </row>
    <row r="897">
      <c r="D897" s="10"/>
      <c r="E897" s="10"/>
      <c r="G897" s="11"/>
      <c r="H897" s="11"/>
    </row>
    <row r="898">
      <c r="D898" s="10"/>
      <c r="E898" s="10"/>
      <c r="G898" s="11"/>
      <c r="H898" s="11"/>
    </row>
    <row r="899">
      <c r="D899" s="10"/>
      <c r="E899" s="10"/>
      <c r="G899" s="11"/>
      <c r="H899" s="11"/>
    </row>
    <row r="900">
      <c r="D900" s="10"/>
      <c r="E900" s="10"/>
      <c r="G900" s="11"/>
      <c r="H900" s="11"/>
    </row>
    <row r="901">
      <c r="D901" s="10"/>
      <c r="E901" s="10"/>
      <c r="G901" s="11"/>
      <c r="H901" s="11"/>
    </row>
    <row r="902">
      <c r="D902" s="10"/>
      <c r="E902" s="10"/>
      <c r="G902" s="11"/>
      <c r="H902" s="11"/>
    </row>
    <row r="903">
      <c r="D903" s="10"/>
      <c r="E903" s="10"/>
      <c r="G903" s="11"/>
      <c r="H903" s="11"/>
    </row>
    <row r="904">
      <c r="D904" s="10"/>
      <c r="E904" s="10"/>
      <c r="G904" s="11"/>
      <c r="H904" s="11"/>
    </row>
    <row r="905">
      <c r="D905" s="10"/>
      <c r="E905" s="10"/>
      <c r="G905" s="11"/>
      <c r="H905" s="11"/>
    </row>
    <row r="906">
      <c r="D906" s="10"/>
      <c r="E906" s="10"/>
      <c r="G906" s="11"/>
      <c r="H906" s="11"/>
    </row>
    <row r="907">
      <c r="D907" s="10"/>
      <c r="E907" s="10"/>
      <c r="G907" s="11"/>
      <c r="H907" s="11"/>
    </row>
    <row r="908">
      <c r="D908" s="10"/>
      <c r="E908" s="10"/>
      <c r="G908" s="11"/>
      <c r="H908" s="11"/>
    </row>
    <row r="909">
      <c r="D909" s="10"/>
      <c r="E909" s="10"/>
      <c r="G909" s="11"/>
      <c r="H909" s="11"/>
    </row>
    <row r="910">
      <c r="D910" s="10"/>
      <c r="E910" s="10"/>
      <c r="G910" s="11"/>
      <c r="H910" s="11"/>
    </row>
    <row r="911">
      <c r="D911" s="10"/>
      <c r="E911" s="10"/>
      <c r="G911" s="11"/>
      <c r="H911" s="11"/>
    </row>
    <row r="912">
      <c r="D912" s="10"/>
      <c r="E912" s="10"/>
      <c r="G912" s="11"/>
      <c r="H912" s="11"/>
    </row>
    <row r="913">
      <c r="D913" s="10"/>
      <c r="E913" s="10"/>
      <c r="G913" s="11"/>
      <c r="H913" s="11"/>
    </row>
    <row r="914">
      <c r="D914" s="10"/>
      <c r="E914" s="10"/>
      <c r="G914" s="11"/>
      <c r="H914" s="11"/>
    </row>
    <row r="915">
      <c r="D915" s="10"/>
      <c r="E915" s="10"/>
      <c r="G915" s="11"/>
      <c r="H915" s="11"/>
    </row>
    <row r="916">
      <c r="D916" s="10"/>
      <c r="E916" s="10"/>
      <c r="G916" s="11"/>
      <c r="H916" s="11"/>
    </row>
    <row r="917">
      <c r="D917" s="10"/>
      <c r="E917" s="10"/>
      <c r="G917" s="11"/>
      <c r="H917" s="11"/>
    </row>
    <row r="918">
      <c r="D918" s="10"/>
      <c r="E918" s="10"/>
      <c r="G918" s="11"/>
      <c r="H918" s="11"/>
    </row>
    <row r="919">
      <c r="D919" s="10"/>
      <c r="E919" s="10"/>
      <c r="G919" s="11"/>
      <c r="H919" s="11"/>
    </row>
    <row r="920">
      <c r="D920" s="10"/>
      <c r="E920" s="10"/>
      <c r="G920" s="11"/>
      <c r="H920" s="11"/>
    </row>
    <row r="921">
      <c r="D921" s="10"/>
      <c r="E921" s="10"/>
      <c r="G921" s="11"/>
      <c r="H921" s="11"/>
    </row>
    <row r="922">
      <c r="D922" s="10"/>
      <c r="E922" s="10"/>
      <c r="G922" s="11"/>
      <c r="H922" s="11"/>
    </row>
    <row r="923">
      <c r="D923" s="10"/>
      <c r="E923" s="10"/>
      <c r="G923" s="11"/>
      <c r="H923" s="11"/>
    </row>
    <row r="924">
      <c r="D924" s="10"/>
      <c r="E924" s="10"/>
      <c r="G924" s="11"/>
      <c r="H924" s="11"/>
    </row>
    <row r="925">
      <c r="D925" s="10"/>
      <c r="E925" s="10"/>
      <c r="G925" s="11"/>
      <c r="H925" s="11"/>
    </row>
    <row r="926">
      <c r="D926" s="10"/>
      <c r="E926" s="10"/>
      <c r="G926" s="11"/>
      <c r="H926" s="11"/>
    </row>
    <row r="927">
      <c r="D927" s="10"/>
      <c r="E927" s="10"/>
      <c r="G927" s="11"/>
      <c r="H927" s="11"/>
    </row>
    <row r="928">
      <c r="D928" s="10"/>
      <c r="E928" s="10"/>
      <c r="G928" s="11"/>
      <c r="H928" s="11"/>
    </row>
    <row r="929">
      <c r="D929" s="10"/>
      <c r="E929" s="10"/>
      <c r="G929" s="11"/>
      <c r="H929" s="11"/>
    </row>
    <row r="930">
      <c r="D930" s="10"/>
      <c r="E930" s="10"/>
      <c r="G930" s="11"/>
      <c r="H930" s="11"/>
    </row>
    <row r="931">
      <c r="D931" s="10"/>
      <c r="E931" s="10"/>
      <c r="G931" s="11"/>
      <c r="H931" s="11"/>
    </row>
    <row r="932">
      <c r="D932" s="10"/>
      <c r="E932" s="10"/>
      <c r="G932" s="11"/>
      <c r="H932" s="11"/>
    </row>
    <row r="933">
      <c r="D933" s="10"/>
      <c r="E933" s="10"/>
      <c r="G933" s="11"/>
      <c r="H933" s="11"/>
    </row>
    <row r="934">
      <c r="D934" s="10"/>
      <c r="E934" s="10"/>
      <c r="G934" s="11"/>
      <c r="H934" s="11"/>
    </row>
    <row r="935">
      <c r="D935" s="10"/>
      <c r="E935" s="10"/>
      <c r="G935" s="11"/>
      <c r="H935" s="11"/>
    </row>
    <row r="936">
      <c r="D936" s="10"/>
      <c r="E936" s="10"/>
      <c r="G936" s="11"/>
      <c r="H936" s="11"/>
    </row>
    <row r="937">
      <c r="D937" s="10"/>
      <c r="E937" s="10"/>
      <c r="G937" s="11"/>
      <c r="H937" s="11"/>
    </row>
    <row r="938">
      <c r="D938" s="10"/>
      <c r="E938" s="10"/>
      <c r="G938" s="11"/>
      <c r="H938" s="11"/>
    </row>
    <row r="939">
      <c r="D939" s="10"/>
      <c r="E939" s="10"/>
      <c r="G939" s="11"/>
      <c r="H939" s="11"/>
    </row>
    <row r="940">
      <c r="D940" s="10"/>
      <c r="E940" s="10"/>
      <c r="G940" s="11"/>
      <c r="H940" s="11"/>
    </row>
    <row r="941">
      <c r="D941" s="10"/>
      <c r="E941" s="10"/>
      <c r="G941" s="11"/>
      <c r="H941" s="11"/>
    </row>
    <row r="942">
      <c r="D942" s="10"/>
      <c r="E942" s="10"/>
      <c r="G942" s="11"/>
      <c r="H942" s="11"/>
    </row>
    <row r="943">
      <c r="D943" s="10"/>
      <c r="E943" s="10"/>
      <c r="G943" s="11"/>
      <c r="H943" s="11"/>
    </row>
    <row r="944">
      <c r="D944" s="10"/>
      <c r="E944" s="10"/>
      <c r="G944" s="11"/>
      <c r="H944" s="11"/>
    </row>
    <row r="945">
      <c r="D945" s="10"/>
      <c r="E945" s="10"/>
      <c r="G945" s="11"/>
      <c r="H945" s="11"/>
    </row>
    <row r="946">
      <c r="D946" s="10"/>
      <c r="E946" s="10"/>
      <c r="G946" s="11"/>
      <c r="H946" s="11"/>
    </row>
    <row r="947">
      <c r="D947" s="10"/>
      <c r="E947" s="10"/>
      <c r="G947" s="11"/>
      <c r="H947" s="11"/>
    </row>
    <row r="948">
      <c r="D948" s="10"/>
      <c r="E948" s="10"/>
      <c r="G948" s="11"/>
      <c r="H948" s="11"/>
    </row>
    <row r="949">
      <c r="D949" s="10"/>
      <c r="E949" s="10"/>
      <c r="G949" s="11"/>
      <c r="H949" s="11"/>
    </row>
    <row r="950">
      <c r="D950" s="10"/>
      <c r="E950" s="10"/>
      <c r="G950" s="11"/>
      <c r="H950" s="11"/>
    </row>
    <row r="951">
      <c r="D951" s="10"/>
      <c r="E951" s="10"/>
      <c r="G951" s="11"/>
      <c r="H951" s="11"/>
    </row>
    <row r="952">
      <c r="D952" s="10"/>
      <c r="E952" s="10"/>
      <c r="G952" s="11"/>
      <c r="H952" s="11"/>
    </row>
    <row r="953">
      <c r="D953" s="10"/>
      <c r="E953" s="10"/>
      <c r="G953" s="11"/>
      <c r="H953" s="11"/>
    </row>
    <row r="954">
      <c r="D954" s="10"/>
      <c r="E954" s="10"/>
      <c r="G954" s="11"/>
      <c r="H954" s="11"/>
    </row>
    <row r="955">
      <c r="D955" s="10"/>
      <c r="E955" s="10"/>
      <c r="G955" s="11"/>
      <c r="H955" s="11"/>
    </row>
    <row r="956">
      <c r="D956" s="10"/>
      <c r="E956" s="10"/>
      <c r="G956" s="11"/>
      <c r="H956" s="11"/>
    </row>
    <row r="957">
      <c r="D957" s="10"/>
      <c r="E957" s="10"/>
      <c r="G957" s="11"/>
      <c r="H957" s="11"/>
    </row>
    <row r="958">
      <c r="D958" s="10"/>
      <c r="E958" s="10"/>
      <c r="G958" s="11"/>
      <c r="H958" s="11"/>
    </row>
    <row r="959">
      <c r="D959" s="10"/>
      <c r="E959" s="10"/>
      <c r="G959" s="11"/>
      <c r="H959" s="11"/>
    </row>
    <row r="960">
      <c r="D960" s="10"/>
      <c r="E960" s="10"/>
      <c r="G960" s="11"/>
      <c r="H960" s="11"/>
    </row>
    <row r="961">
      <c r="D961" s="10"/>
      <c r="E961" s="10"/>
      <c r="G961" s="11"/>
      <c r="H961" s="11"/>
    </row>
    <row r="962">
      <c r="D962" s="10"/>
      <c r="E962" s="10"/>
      <c r="G962" s="11"/>
      <c r="H962" s="11"/>
    </row>
    <row r="963">
      <c r="D963" s="10"/>
      <c r="E963" s="10"/>
      <c r="G963" s="11"/>
      <c r="H963" s="11"/>
    </row>
    <row r="964">
      <c r="D964" s="10"/>
      <c r="E964" s="10"/>
      <c r="G964" s="11"/>
      <c r="H964" s="11"/>
    </row>
    <row r="965">
      <c r="D965" s="10"/>
      <c r="E965" s="10"/>
      <c r="G965" s="11"/>
      <c r="H965" s="11"/>
    </row>
    <row r="966">
      <c r="D966" s="10"/>
      <c r="E966" s="10"/>
      <c r="G966" s="11"/>
      <c r="H966" s="11"/>
    </row>
    <row r="967">
      <c r="D967" s="10"/>
      <c r="E967" s="10"/>
      <c r="G967" s="11"/>
      <c r="H967" s="11"/>
    </row>
    <row r="968">
      <c r="D968" s="10"/>
      <c r="E968" s="10"/>
      <c r="G968" s="11"/>
      <c r="H968" s="11"/>
    </row>
    <row r="969">
      <c r="D969" s="10"/>
      <c r="E969" s="10"/>
      <c r="G969" s="11"/>
      <c r="H969" s="11"/>
    </row>
    <row r="970">
      <c r="D970" s="10"/>
      <c r="E970" s="10"/>
      <c r="G970" s="11"/>
      <c r="H970" s="11"/>
    </row>
    <row r="971">
      <c r="D971" s="10"/>
      <c r="E971" s="10"/>
      <c r="G971" s="11"/>
      <c r="H971" s="11"/>
    </row>
    <row r="972">
      <c r="D972" s="10"/>
      <c r="E972" s="10"/>
      <c r="G972" s="11"/>
      <c r="H972" s="11"/>
    </row>
    <row r="973">
      <c r="D973" s="10"/>
      <c r="E973" s="10"/>
      <c r="G973" s="11"/>
      <c r="H973" s="11"/>
    </row>
    <row r="974">
      <c r="D974" s="10"/>
      <c r="E974" s="10"/>
      <c r="G974" s="11"/>
      <c r="H974" s="11"/>
    </row>
    <row r="975">
      <c r="D975" s="10"/>
      <c r="E975" s="10"/>
      <c r="G975" s="11"/>
      <c r="H975" s="11"/>
    </row>
    <row r="976">
      <c r="D976" s="10"/>
      <c r="E976" s="10"/>
      <c r="G976" s="11"/>
      <c r="H976" s="11"/>
    </row>
    <row r="977">
      <c r="D977" s="10"/>
      <c r="E977" s="10"/>
      <c r="G977" s="11"/>
      <c r="H977" s="11"/>
    </row>
    <row r="978">
      <c r="D978" s="10"/>
      <c r="E978" s="10"/>
      <c r="G978" s="11"/>
      <c r="H978" s="11"/>
    </row>
    <row r="979">
      <c r="D979" s="10"/>
      <c r="E979" s="10"/>
      <c r="G979" s="11"/>
      <c r="H979" s="11"/>
    </row>
    <row r="980">
      <c r="D980" s="10"/>
      <c r="E980" s="10"/>
      <c r="G980" s="11"/>
      <c r="H980" s="11"/>
    </row>
    <row r="981">
      <c r="D981" s="10"/>
      <c r="E981" s="10"/>
      <c r="G981" s="11"/>
      <c r="H981" s="11"/>
    </row>
    <row r="982">
      <c r="D982" s="10"/>
      <c r="E982" s="10"/>
      <c r="G982" s="11"/>
      <c r="H982" s="11"/>
    </row>
    <row r="983">
      <c r="D983" s="10"/>
      <c r="E983" s="10"/>
      <c r="G983" s="11"/>
      <c r="H983" s="11"/>
    </row>
    <row r="984">
      <c r="D984" s="10"/>
      <c r="E984" s="10"/>
      <c r="G984" s="11"/>
      <c r="H984" s="11"/>
    </row>
    <row r="985">
      <c r="D985" s="10"/>
      <c r="E985" s="10"/>
      <c r="G985" s="11"/>
      <c r="H985" s="11"/>
    </row>
    <row r="986">
      <c r="D986" s="10"/>
      <c r="E986" s="10"/>
      <c r="G986" s="11"/>
      <c r="H986" s="11"/>
    </row>
    <row r="987">
      <c r="D987" s="10"/>
      <c r="E987" s="10"/>
      <c r="G987" s="11"/>
      <c r="H987" s="11"/>
    </row>
    <row r="988">
      <c r="D988" s="10"/>
      <c r="E988" s="10"/>
      <c r="G988" s="11"/>
      <c r="H988" s="11"/>
    </row>
    <row r="989">
      <c r="D989" s="10"/>
      <c r="E989" s="10"/>
      <c r="G989" s="11"/>
      <c r="H989" s="11"/>
    </row>
    <row r="990">
      <c r="D990" s="10"/>
      <c r="E990" s="10"/>
      <c r="G990" s="11"/>
      <c r="H990" s="11"/>
    </row>
    <row r="991">
      <c r="D991" s="10"/>
      <c r="E991" s="10"/>
      <c r="G991" s="11"/>
      <c r="H991" s="11"/>
    </row>
    <row r="992">
      <c r="D992" s="10"/>
      <c r="E992" s="10"/>
      <c r="G992" s="11"/>
      <c r="H992" s="11"/>
    </row>
    <row r="993">
      <c r="D993" s="10"/>
      <c r="E993" s="10"/>
      <c r="G993" s="11"/>
      <c r="H993" s="11"/>
    </row>
    <row r="994">
      <c r="D994" s="10"/>
      <c r="E994" s="10"/>
      <c r="G994" s="11"/>
      <c r="H994" s="11"/>
    </row>
    <row r="995">
      <c r="D995" s="10"/>
      <c r="E995" s="10"/>
      <c r="G995" s="11"/>
      <c r="H995" s="11"/>
    </row>
    <row r="996">
      <c r="D996" s="10"/>
      <c r="E996" s="10"/>
      <c r="G996" s="11"/>
      <c r="H996" s="11"/>
    </row>
    <row r="997">
      <c r="D997" s="10"/>
      <c r="E997" s="10"/>
      <c r="G997" s="11"/>
      <c r="H997" s="11"/>
    </row>
    <row r="998">
      <c r="D998" s="10"/>
      <c r="E998" s="10"/>
      <c r="G998" s="11"/>
      <c r="H998" s="11"/>
    </row>
    <row r="999">
      <c r="D999" s="10"/>
      <c r="E999" s="10"/>
      <c r="G999" s="11"/>
      <c r="H999" s="11"/>
    </row>
    <row r="1000">
      <c r="D1000" s="10"/>
      <c r="E1000" s="10"/>
      <c r="G1000" s="11"/>
      <c r="H1000" s="11"/>
    </row>
  </sheetData>
  <autoFilter ref="$A$1:$Z$28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c r="B5" s="9"/>
      <c r="C5" s="9"/>
      <c r="D5" s="9"/>
      <c r="E5" s="9"/>
    </row>
    <row r="6">
      <c r="B6" s="9"/>
      <c r="C6" s="9"/>
      <c r="D6" s="9"/>
      <c r="E6" s="9"/>
    </row>
    <row r="7">
      <c r="B7" s="9"/>
      <c r="C7" s="9"/>
      <c r="D7" s="9"/>
      <c r="E7" s="9"/>
    </row>
    <row r="8">
      <c r="B8" s="9"/>
      <c r="C8" s="9"/>
      <c r="D8" s="9"/>
      <c r="E8" s="9"/>
    </row>
    <row r="9">
      <c r="B9" s="9"/>
      <c r="C9" s="9"/>
      <c r="D9" s="9"/>
      <c r="E9" s="9"/>
    </row>
    <row r="10">
      <c r="B10" s="9"/>
      <c r="C10" s="9"/>
      <c r="D10" s="9"/>
      <c r="E10" s="9"/>
    </row>
    <row r="11">
      <c r="B11" s="9"/>
      <c r="C11" s="9"/>
      <c r="D11" s="9"/>
      <c r="E11" s="9"/>
    </row>
    <row r="12">
      <c r="B12" s="9"/>
      <c r="C12" s="9"/>
      <c r="D12" s="9"/>
      <c r="E12" s="9"/>
    </row>
    <row r="13">
      <c r="B13" s="9"/>
      <c r="C13" s="9"/>
      <c r="D13" s="9"/>
      <c r="E13" s="9"/>
    </row>
    <row r="14">
      <c r="B14" s="9"/>
      <c r="C14" s="9"/>
      <c r="D14" s="9"/>
      <c r="E14" s="9"/>
    </row>
    <row r="15">
      <c r="B15" s="9"/>
      <c r="C15" s="9"/>
      <c r="D15" s="9"/>
      <c r="E15" s="9"/>
    </row>
    <row r="16">
      <c r="B16" s="9"/>
      <c r="C16" s="9"/>
      <c r="D16" s="9"/>
      <c r="E16" s="9"/>
    </row>
    <row r="17">
      <c r="B17" s="9"/>
      <c r="C17" s="9"/>
      <c r="D17" s="9"/>
      <c r="E17" s="9"/>
    </row>
    <row r="18">
      <c r="B18" s="9"/>
      <c r="C18" s="9"/>
      <c r="D18" s="9"/>
      <c r="E18" s="9"/>
    </row>
    <row r="19">
      <c r="B19" s="9"/>
      <c r="C19" s="9"/>
      <c r="D19" s="9"/>
      <c r="E19" s="9"/>
    </row>
    <row r="20">
      <c r="B20" s="9"/>
      <c r="C20" s="9"/>
      <c r="D20" s="9"/>
      <c r="E20" s="9"/>
    </row>
    <row r="21">
      <c r="B21" s="9"/>
      <c r="C21" s="9"/>
      <c r="D21" s="9"/>
      <c r="E21" s="9"/>
    </row>
    <row r="22">
      <c r="B22" s="9"/>
      <c r="C22" s="9"/>
      <c r="D22" s="9"/>
      <c r="E22" s="9"/>
    </row>
    <row r="23">
      <c r="B23" s="9"/>
      <c r="C23" s="9"/>
      <c r="D23" s="9"/>
      <c r="E23" s="9"/>
    </row>
    <row r="24">
      <c r="B24" s="9"/>
      <c r="C24" s="9"/>
      <c r="D24" s="9"/>
      <c r="E24" s="9"/>
    </row>
    <row r="25">
      <c r="B25" s="9"/>
      <c r="C25" s="9"/>
      <c r="D25" s="9"/>
      <c r="E25" s="9"/>
    </row>
    <row r="26">
      <c r="B26" s="9"/>
      <c r="C26" s="9"/>
      <c r="D26" s="9"/>
      <c r="E26" s="9"/>
    </row>
    <row r="27">
      <c r="B27" s="9"/>
      <c r="C27" s="9"/>
      <c r="D27" s="9"/>
      <c r="E27" s="9"/>
    </row>
    <row r="28">
      <c r="B28" s="9"/>
      <c r="C28" s="9"/>
      <c r="D28" s="9"/>
      <c r="E28" s="9"/>
    </row>
    <row r="29">
      <c r="B29" s="9"/>
      <c r="C29" s="9"/>
      <c r="D29" s="9"/>
      <c r="E29" s="9"/>
    </row>
    <row r="30">
      <c r="B30" s="9"/>
      <c r="C30" s="9"/>
      <c r="D30" s="9"/>
      <c r="E30" s="9"/>
    </row>
    <row r="31">
      <c r="B31" s="9"/>
      <c r="C31" s="9"/>
      <c r="D31" s="9"/>
      <c r="E31" s="9"/>
    </row>
    <row r="32">
      <c r="B32" s="9"/>
      <c r="C32" s="9"/>
      <c r="D32" s="9"/>
      <c r="E32" s="9"/>
    </row>
    <row r="33">
      <c r="B33" s="9"/>
      <c r="C33" s="9"/>
      <c r="D33" s="9"/>
      <c r="E33" s="9"/>
    </row>
    <row r="34">
      <c r="B34" s="9"/>
      <c r="C34" s="9"/>
      <c r="D34" s="9"/>
      <c r="E34" s="9"/>
    </row>
    <row r="35">
      <c r="B35" s="9"/>
      <c r="C35" s="9"/>
      <c r="D35" s="9"/>
      <c r="E35" s="9"/>
    </row>
    <row r="36">
      <c r="B36" s="9"/>
      <c r="C36" s="9"/>
      <c r="D36" s="9"/>
      <c r="E36" s="9"/>
    </row>
    <row r="37">
      <c r="B37" s="9"/>
      <c r="C37" s="9"/>
      <c r="D37" s="9"/>
      <c r="E37" s="9"/>
    </row>
    <row r="38">
      <c r="B38" s="9"/>
      <c r="C38" s="9"/>
      <c r="D38" s="9"/>
      <c r="E38" s="9"/>
    </row>
    <row r="39">
      <c r="B39" s="9"/>
      <c r="C39" s="9"/>
      <c r="D39" s="9"/>
      <c r="E39" s="9"/>
    </row>
    <row r="40">
      <c r="B40" s="9"/>
      <c r="C40" s="9"/>
      <c r="D40" s="9"/>
      <c r="E40" s="9"/>
    </row>
    <row r="41">
      <c r="B41" s="9"/>
      <c r="C41" s="9"/>
      <c r="D41" s="9"/>
      <c r="E41" s="9"/>
    </row>
    <row r="42">
      <c r="B42" s="9"/>
      <c r="C42" s="9"/>
      <c r="D42" s="9"/>
      <c r="E42" s="9"/>
    </row>
    <row r="43">
      <c r="B43" s="9"/>
      <c r="C43" s="9"/>
      <c r="D43" s="9"/>
      <c r="E43" s="9"/>
    </row>
    <row r="44">
      <c r="B44" s="9"/>
      <c r="C44" s="9"/>
      <c r="D44" s="9"/>
      <c r="E44" s="9"/>
    </row>
    <row r="45">
      <c r="B45" s="9"/>
      <c r="C45" s="9"/>
      <c r="D45" s="9"/>
      <c r="E45" s="9"/>
    </row>
    <row r="46">
      <c r="B46" s="9"/>
      <c r="C46" s="9"/>
      <c r="D46" s="9"/>
      <c r="E46" s="9"/>
    </row>
    <row r="47">
      <c r="B47" s="9"/>
      <c r="C47" s="9"/>
      <c r="D47" s="9"/>
      <c r="E47" s="9"/>
    </row>
    <row r="48">
      <c r="B48" s="9"/>
      <c r="C48" s="9"/>
      <c r="D48" s="9"/>
      <c r="E48" s="9"/>
    </row>
    <row r="49">
      <c r="B49" s="9"/>
      <c r="C49" s="9"/>
      <c r="D49" s="9"/>
      <c r="E49" s="9"/>
    </row>
    <row r="50">
      <c r="B50" s="9"/>
      <c r="C50" s="9"/>
      <c r="D50" s="9"/>
      <c r="E50" s="9"/>
    </row>
    <row r="51">
      <c r="B51" s="9"/>
      <c r="C51" s="9"/>
      <c r="D51" s="9"/>
      <c r="E51" s="9"/>
    </row>
    <row r="52">
      <c r="B52" s="9"/>
      <c r="C52" s="9"/>
      <c r="D52" s="9"/>
      <c r="E52" s="9"/>
    </row>
    <row r="53">
      <c r="B53" s="9"/>
      <c r="C53" s="9"/>
      <c r="D53" s="9"/>
      <c r="E53" s="9"/>
    </row>
    <row r="54">
      <c r="B54" s="9"/>
      <c r="C54" s="9"/>
      <c r="D54" s="9"/>
      <c r="E54" s="9"/>
    </row>
    <row r="55">
      <c r="B55" s="9"/>
      <c r="C55" s="9"/>
      <c r="D55" s="9"/>
      <c r="E55" s="9"/>
    </row>
    <row r="56">
      <c r="B56" s="9"/>
      <c r="C56" s="9"/>
      <c r="D56" s="9"/>
      <c r="E56" s="9"/>
    </row>
    <row r="57">
      <c r="B57" s="9"/>
      <c r="C57" s="9"/>
      <c r="D57" s="9"/>
      <c r="E57" s="9"/>
    </row>
    <row r="58">
      <c r="B58" s="9"/>
      <c r="C58" s="9"/>
      <c r="D58" s="9"/>
      <c r="E58" s="9"/>
    </row>
    <row r="59">
      <c r="B59" s="9"/>
      <c r="C59" s="9"/>
      <c r="D59" s="9"/>
      <c r="E59" s="9"/>
    </row>
    <row r="60">
      <c r="B60" s="9"/>
      <c r="C60" s="9"/>
      <c r="D60" s="9"/>
      <c r="E60" s="9"/>
    </row>
    <row r="61">
      <c r="B61" s="9"/>
      <c r="C61" s="9"/>
      <c r="D61" s="9"/>
      <c r="E61" s="9"/>
    </row>
    <row r="62">
      <c r="B62" s="9"/>
      <c r="C62" s="9"/>
      <c r="D62" s="9"/>
      <c r="E62" s="9"/>
    </row>
    <row r="63">
      <c r="B63" s="9"/>
      <c r="C63" s="9"/>
      <c r="D63" s="9"/>
      <c r="E63" s="9"/>
    </row>
    <row r="64">
      <c r="B64" s="9"/>
      <c r="C64" s="9"/>
      <c r="D64" s="9"/>
      <c r="E64" s="9"/>
    </row>
    <row r="65">
      <c r="B65" s="9"/>
      <c r="C65" s="9"/>
      <c r="D65" s="9"/>
      <c r="E65" s="9"/>
    </row>
    <row r="66">
      <c r="B66" s="9"/>
      <c r="C66" s="9"/>
      <c r="D66" s="9"/>
      <c r="E66" s="9"/>
    </row>
    <row r="67">
      <c r="B67" s="9"/>
      <c r="C67" s="9"/>
      <c r="D67" s="9"/>
      <c r="E67" s="9"/>
    </row>
    <row r="68">
      <c r="B68" s="9"/>
      <c r="C68" s="9"/>
      <c r="D68" s="9"/>
      <c r="E68" s="9"/>
    </row>
    <row r="69">
      <c r="B69" s="9"/>
      <c r="C69" s="9"/>
      <c r="D69" s="9"/>
      <c r="E69" s="9"/>
    </row>
    <row r="70">
      <c r="B70" s="9"/>
      <c r="C70" s="9"/>
      <c r="D70" s="9"/>
      <c r="E70" s="9"/>
    </row>
    <row r="71">
      <c r="B71" s="9"/>
      <c r="C71" s="9"/>
      <c r="D71" s="9"/>
      <c r="E71" s="9"/>
    </row>
    <row r="72">
      <c r="B72" s="9"/>
      <c r="C72" s="9"/>
      <c r="D72" s="9"/>
      <c r="E72" s="9"/>
    </row>
    <row r="73">
      <c r="B73" s="9"/>
      <c r="C73" s="9"/>
      <c r="D73" s="9"/>
      <c r="E73" s="9"/>
    </row>
    <row r="74">
      <c r="B74" s="9"/>
      <c r="C74" s="9"/>
      <c r="D74" s="9"/>
      <c r="E74" s="9"/>
    </row>
    <row r="75">
      <c r="B75" s="9"/>
      <c r="C75" s="9"/>
      <c r="D75" s="9"/>
      <c r="E75" s="9"/>
    </row>
    <row r="76">
      <c r="B76" s="9"/>
      <c r="C76" s="9"/>
      <c r="D76" s="9"/>
      <c r="E76" s="9"/>
    </row>
    <row r="77">
      <c r="B77" s="9"/>
      <c r="C77" s="9"/>
      <c r="D77" s="9"/>
      <c r="E77" s="9"/>
    </row>
    <row r="78">
      <c r="B78" s="9"/>
      <c r="C78" s="9"/>
      <c r="D78" s="9"/>
      <c r="E78" s="9"/>
    </row>
    <row r="79">
      <c r="B79" s="9"/>
      <c r="C79" s="9"/>
      <c r="D79" s="9"/>
      <c r="E79" s="9"/>
    </row>
    <row r="80">
      <c r="B80" s="9"/>
      <c r="C80" s="9"/>
      <c r="D80" s="9"/>
      <c r="E80" s="9"/>
    </row>
    <row r="81">
      <c r="B81" s="9"/>
      <c r="C81" s="9"/>
      <c r="D81" s="9"/>
      <c r="E81" s="9"/>
    </row>
    <row r="82">
      <c r="B82" s="9"/>
      <c r="C82" s="9"/>
      <c r="D82" s="9"/>
      <c r="E82" s="9"/>
    </row>
    <row r="83">
      <c r="B83" s="9"/>
      <c r="C83" s="9"/>
      <c r="D83" s="9"/>
      <c r="E83" s="9"/>
    </row>
    <row r="84">
      <c r="B84" s="9"/>
      <c r="C84" s="9"/>
      <c r="D84" s="9"/>
      <c r="E84" s="9"/>
    </row>
    <row r="85">
      <c r="B85" s="9"/>
      <c r="C85" s="9"/>
      <c r="D85" s="9"/>
      <c r="E85" s="9"/>
    </row>
    <row r="86">
      <c r="B86" s="9"/>
      <c r="C86" s="9"/>
      <c r="D86" s="9"/>
      <c r="E86" s="9"/>
    </row>
    <row r="87">
      <c r="B87" s="9"/>
      <c r="C87" s="9"/>
      <c r="D87" s="9"/>
      <c r="E87" s="9"/>
    </row>
    <row r="88">
      <c r="B88" s="9"/>
      <c r="C88" s="9"/>
      <c r="D88" s="9"/>
      <c r="E88" s="9"/>
    </row>
    <row r="89">
      <c r="B89" s="9"/>
      <c r="C89" s="9"/>
      <c r="D89" s="9"/>
      <c r="E89" s="9"/>
    </row>
    <row r="90">
      <c r="B90" s="9"/>
      <c r="C90" s="9"/>
      <c r="D90" s="9"/>
      <c r="E90" s="9"/>
    </row>
    <row r="91">
      <c r="B91" s="9"/>
      <c r="C91" s="9"/>
      <c r="D91" s="9"/>
      <c r="E91" s="9"/>
    </row>
    <row r="92">
      <c r="B92" s="9"/>
      <c r="C92" s="9"/>
      <c r="D92" s="9"/>
      <c r="E92" s="9"/>
    </row>
    <row r="93">
      <c r="B93" s="9"/>
      <c r="C93" s="9"/>
      <c r="D93" s="9"/>
      <c r="E93" s="9"/>
    </row>
    <row r="94">
      <c r="B94" s="9"/>
      <c r="C94" s="9"/>
      <c r="D94" s="9"/>
      <c r="E94" s="9"/>
    </row>
    <row r="95">
      <c r="B95" s="9"/>
      <c r="C95" s="9"/>
      <c r="D95" s="9"/>
      <c r="E95" s="9"/>
    </row>
    <row r="96">
      <c r="B96" s="9"/>
      <c r="C96" s="9"/>
      <c r="D96" s="9"/>
      <c r="E96" s="9"/>
    </row>
    <row r="97">
      <c r="B97" s="9"/>
      <c r="C97" s="9"/>
      <c r="D97" s="9"/>
      <c r="E97" s="9"/>
    </row>
    <row r="98">
      <c r="B98" s="9"/>
      <c r="C98" s="9"/>
      <c r="D98" s="9"/>
      <c r="E98" s="9"/>
    </row>
    <row r="99">
      <c r="B99" s="9"/>
      <c r="C99" s="9"/>
      <c r="D99" s="9"/>
      <c r="E99" s="9"/>
    </row>
    <row r="100">
      <c r="B100" s="9"/>
      <c r="C100" s="9"/>
      <c r="D100" s="9"/>
      <c r="E100" s="9"/>
    </row>
    <row r="101">
      <c r="B101" s="9"/>
      <c r="C101" s="9"/>
      <c r="D101" s="9"/>
      <c r="E101" s="9"/>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row r="966">
      <c r="B966" s="9"/>
      <c r="C966" s="9"/>
      <c r="D966" s="9"/>
      <c r="E966" s="9"/>
    </row>
    <row r="967">
      <c r="B967" s="9"/>
      <c r="C967" s="9"/>
      <c r="D967" s="9"/>
      <c r="E967" s="9"/>
    </row>
    <row r="968">
      <c r="B968" s="9"/>
      <c r="C968" s="9"/>
      <c r="D968" s="9"/>
      <c r="E968" s="9"/>
    </row>
    <row r="969">
      <c r="B969" s="9"/>
      <c r="C969" s="9"/>
      <c r="D969" s="9"/>
      <c r="E969" s="9"/>
    </row>
    <row r="970">
      <c r="B970" s="9"/>
      <c r="C970" s="9"/>
      <c r="D970" s="9"/>
      <c r="E970" s="9"/>
    </row>
    <row r="971">
      <c r="B971" s="9"/>
      <c r="C971" s="9"/>
      <c r="D971" s="9"/>
      <c r="E971" s="9"/>
    </row>
    <row r="972">
      <c r="B972" s="9"/>
      <c r="C972" s="9"/>
      <c r="D972" s="9"/>
      <c r="E972" s="9"/>
    </row>
    <row r="973">
      <c r="B973" s="9"/>
      <c r="C973" s="9"/>
      <c r="D973" s="9"/>
      <c r="E973" s="9"/>
    </row>
    <row r="974">
      <c r="B974" s="9"/>
      <c r="C974" s="9"/>
      <c r="D974" s="9"/>
      <c r="E974" s="9"/>
    </row>
    <row r="975">
      <c r="B975" s="9"/>
      <c r="C975" s="9"/>
      <c r="D975" s="9"/>
      <c r="E975" s="9"/>
    </row>
    <row r="976">
      <c r="B976" s="9"/>
      <c r="C976" s="9"/>
      <c r="D976" s="9"/>
      <c r="E976" s="9"/>
    </row>
    <row r="977">
      <c r="B977" s="9"/>
      <c r="C977" s="9"/>
      <c r="D977" s="9"/>
      <c r="E977" s="9"/>
    </row>
    <row r="978">
      <c r="B978" s="9"/>
      <c r="C978" s="9"/>
      <c r="D978" s="9"/>
      <c r="E978" s="9"/>
    </row>
    <row r="979">
      <c r="B979" s="9"/>
      <c r="C979" s="9"/>
      <c r="D979" s="9"/>
      <c r="E979" s="9"/>
    </row>
    <row r="980">
      <c r="B980" s="9"/>
      <c r="C980" s="9"/>
      <c r="D980" s="9"/>
      <c r="E980" s="9"/>
    </row>
    <row r="981">
      <c r="B981" s="9"/>
      <c r="C981" s="9"/>
      <c r="D981" s="9"/>
      <c r="E981" s="9"/>
    </row>
    <row r="982">
      <c r="B982" s="9"/>
      <c r="C982" s="9"/>
      <c r="D982" s="9"/>
      <c r="E982" s="9"/>
    </row>
    <row r="983">
      <c r="B983" s="9"/>
      <c r="C983" s="9"/>
      <c r="D983" s="9"/>
      <c r="E983" s="9"/>
    </row>
    <row r="984">
      <c r="B984" s="9"/>
      <c r="C984" s="9"/>
      <c r="D984" s="9"/>
      <c r="E984" s="9"/>
    </row>
    <row r="985">
      <c r="B985" s="9"/>
      <c r="C985" s="9"/>
      <c r="D985" s="9"/>
      <c r="E985" s="9"/>
    </row>
    <row r="986">
      <c r="B986" s="9"/>
      <c r="C986" s="9"/>
      <c r="D986" s="9"/>
      <c r="E986" s="9"/>
    </row>
    <row r="987">
      <c r="B987" s="9"/>
      <c r="C987" s="9"/>
      <c r="D987" s="9"/>
      <c r="E987" s="9"/>
    </row>
    <row r="988">
      <c r="B988" s="9"/>
      <c r="C988" s="9"/>
      <c r="D988" s="9"/>
      <c r="E988" s="9"/>
    </row>
    <row r="989">
      <c r="B989" s="9"/>
      <c r="C989" s="9"/>
      <c r="D989" s="9"/>
      <c r="E989" s="9"/>
    </row>
    <row r="990">
      <c r="B990" s="9"/>
      <c r="C990" s="9"/>
      <c r="D990" s="9"/>
      <c r="E990" s="9"/>
    </row>
    <row r="991">
      <c r="B991" s="9"/>
      <c r="C991" s="9"/>
      <c r="D991" s="9"/>
      <c r="E991" s="9"/>
    </row>
    <row r="992">
      <c r="B992" s="9"/>
      <c r="C992" s="9"/>
      <c r="D992" s="9"/>
      <c r="E992" s="9"/>
    </row>
    <row r="993">
      <c r="B993" s="9"/>
      <c r="C993" s="9"/>
      <c r="D993" s="9"/>
      <c r="E993" s="9"/>
    </row>
    <row r="994">
      <c r="B994" s="9"/>
      <c r="C994" s="9"/>
      <c r="D994" s="9"/>
      <c r="E994" s="9"/>
    </row>
    <row r="995">
      <c r="B995" s="9"/>
      <c r="C995" s="9"/>
      <c r="D995" s="9"/>
      <c r="E995" s="9"/>
    </row>
    <row r="996">
      <c r="B996" s="9"/>
      <c r="C996" s="9"/>
      <c r="D996" s="9"/>
      <c r="E996" s="9"/>
    </row>
    <row r="997">
      <c r="B997" s="9"/>
      <c r="C997" s="9"/>
      <c r="D997" s="9"/>
      <c r="E997" s="9"/>
    </row>
    <row r="998">
      <c r="B998" s="9"/>
      <c r="C998" s="9"/>
      <c r="D998" s="9"/>
      <c r="E998" s="9"/>
    </row>
    <row r="999">
      <c r="B999" s="9"/>
      <c r="C999" s="9"/>
      <c r="D999" s="9"/>
      <c r="E999" s="9"/>
    </row>
    <row r="1000">
      <c r="B1000" s="9"/>
      <c r="C1000" s="9"/>
      <c r="D1000" s="9"/>
      <c r="E1000" s="9"/>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c r="B10" s="9"/>
    </row>
    <row r="11">
      <c r="B11" s="9"/>
    </row>
    <row r="12">
      <c r="B12" s="9"/>
    </row>
    <row r="13">
      <c r="B13" s="9"/>
    </row>
    <row r="14">
      <c r="B14" s="9"/>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318</v>
      </c>
      <c r="B1" s="12" t="s">
        <v>320</v>
      </c>
      <c r="C1" s="12"/>
      <c r="L1" s="1" t="s">
        <v>321</v>
      </c>
      <c r="M1" s="1" t="s">
        <v>322</v>
      </c>
    </row>
    <row r="2">
      <c r="A2" s="1" t="s">
        <v>323</v>
      </c>
      <c r="B2" s="8">
        <f>COUNTBLANK('Cleaned Data'!A2:A281)</f>
        <v>0</v>
      </c>
      <c r="L2" s="8" t="str">
        <f>IF('Cleaned Data'!E2&lt;'Cleaned Data'!D2,"ERROR","OK")</f>
        <v>OK</v>
      </c>
      <c r="M2" s="8" t="str">
        <f>IF(OR('Cleaned Data'!F2="",'Cleaned Data'!G2="",'Cleaned Data'!H2=""),"",IF('Cleaned Data'!F2=0,"CHECK",IF(ABS(('Cleaned Data'!G2/'Cleaned Data'!F2)-'Cleaned Data'!H2)&lt;=0.01,"OK","CHECK")))</f>
        <v>OK</v>
      </c>
    </row>
    <row r="3">
      <c r="A3" s="1" t="s">
        <v>354</v>
      </c>
      <c r="B3" s="8">
        <f>COUNTBLANK('Cleaned Data'!B2:B281)</f>
        <v>0</v>
      </c>
      <c r="L3" s="8" t="str">
        <f>IF('Cleaned Data'!E3&lt;'Cleaned Data'!D3,"ERROR","OK")</f>
        <v>OK</v>
      </c>
      <c r="M3" s="8" t="str">
        <f>IF(OR('Cleaned Data'!F3="",'Cleaned Data'!G3="",'Cleaned Data'!H3=""),"",IF('Cleaned Data'!F3=0,"CHECK",IF(ABS(('Cleaned Data'!G3/'Cleaned Data'!F3)-'Cleaned Data'!H3)&lt;=0.01,"OK","CHECK")))</f>
        <v>OK</v>
      </c>
    </row>
    <row r="4">
      <c r="A4" s="1" t="s">
        <v>355</v>
      </c>
      <c r="B4" s="8">
        <f>COUNTBLANK('Cleaned Data'!C2:C281)</f>
        <v>0</v>
      </c>
      <c r="L4" s="8" t="str">
        <f>IF('Cleaned Data'!E4&lt;'Cleaned Data'!D4,"ERROR","OK")</f>
        <v>OK</v>
      </c>
      <c r="M4" s="8" t="str">
        <f>IF(OR('Cleaned Data'!F4="",'Cleaned Data'!G4="",'Cleaned Data'!H4=""),"",IF('Cleaned Data'!F4=0,"CHECK",IF(ABS(('Cleaned Data'!G4/'Cleaned Data'!F4)-'Cleaned Data'!H4)&lt;=0.01,"OK","CHECK")))</f>
        <v>OK</v>
      </c>
    </row>
    <row r="5">
      <c r="A5" s="1" t="s">
        <v>360</v>
      </c>
      <c r="B5" s="8">
        <f>COUNTBLANK('Cleaned Data'!D2:D281)</f>
        <v>0</v>
      </c>
      <c r="L5" s="8" t="str">
        <f>IF('Cleaned Data'!E5&lt;'Cleaned Data'!D5,"ERROR","OK")</f>
        <v>OK</v>
      </c>
      <c r="M5" s="8" t="str">
        <f>IF(OR('Cleaned Data'!F5="",'Cleaned Data'!G5="",'Cleaned Data'!H5=""),"",IF('Cleaned Data'!F5=0,"CHECK",IF(ABS(('Cleaned Data'!G5/'Cleaned Data'!F5)-'Cleaned Data'!H5)&lt;=0.01,"OK","CHECK")))</f>
        <v>OK</v>
      </c>
    </row>
    <row r="6">
      <c r="A6" s="1" t="s">
        <v>361</v>
      </c>
      <c r="B6" s="8">
        <f>COUNTBLANK('Cleaned Data'!E2:E281)</f>
        <v>0</v>
      </c>
      <c r="L6" s="8" t="str">
        <f>IF('Cleaned Data'!E6&lt;'Cleaned Data'!D6,"ERROR","OK")</f>
        <v>OK</v>
      </c>
      <c r="M6" s="8" t="str">
        <f>IF(OR('Cleaned Data'!F6="",'Cleaned Data'!G6="",'Cleaned Data'!H6=""),"",IF('Cleaned Data'!F6=0,"CHECK",IF(ABS(('Cleaned Data'!G6/'Cleaned Data'!F6)-'Cleaned Data'!H6)&lt;=0.01,"OK","CHECK")))</f>
        <v>OK</v>
      </c>
    </row>
    <row r="7">
      <c r="A7" s="1" t="s">
        <v>396</v>
      </c>
      <c r="L7" s="8" t="str">
        <f>IF('Cleaned Data'!E7&lt;'Cleaned Data'!D7,"ERROR","OK")</f>
        <v>OK</v>
      </c>
      <c r="M7" s="8" t="str">
        <f>IF(OR('Cleaned Data'!F7="",'Cleaned Data'!G7="",'Cleaned Data'!H7=""),"",IF('Cleaned Data'!F7=0,"CHECK",IF(ABS(('Cleaned Data'!G7/'Cleaned Data'!F7)-'Cleaned Data'!H7)&lt;=0.01,"OK","CHECK")))</f>
        <v>OK</v>
      </c>
    </row>
    <row r="8">
      <c r="L8" s="8" t="str">
        <f>IF('Cleaned Data'!E8&lt;'Cleaned Data'!D8,"ERROR","OK")</f>
        <v>OK</v>
      </c>
      <c r="M8" s="8" t="str">
        <f>IF(OR('Cleaned Data'!F8="",'Cleaned Data'!G8="",'Cleaned Data'!H8=""),"",IF('Cleaned Data'!F8=0,"CHECK",IF(ABS(('Cleaned Data'!G8/'Cleaned Data'!F8)-'Cleaned Data'!H8)&lt;=0.01,"OK","CHECK")))</f>
        <v>OK</v>
      </c>
    </row>
    <row r="9">
      <c r="L9" s="8" t="str">
        <f>IF('Cleaned Data'!E9&lt;'Cleaned Data'!D9,"ERROR","OK")</f>
        <v>OK</v>
      </c>
      <c r="M9" s="8" t="str">
        <f>IF(OR('Cleaned Data'!F9="",'Cleaned Data'!G9="",'Cleaned Data'!H9=""),"",IF('Cleaned Data'!F9=0,"CHECK",IF(ABS(('Cleaned Data'!G9/'Cleaned Data'!F9)-'Cleaned Data'!H9)&lt;=0.01,"OK","CHECK")))</f>
        <v>OK</v>
      </c>
    </row>
    <row r="10">
      <c r="A10" s="8">
        <f>IFERROR(__xludf.DUMMYFUNCTION("COUNTA('Cleaned Data'!A2:A281)-COUNTUNIQUE('Cleaned Data'!A2:A281)"),0.0)</f>
        <v>0</v>
      </c>
      <c r="L10" s="8" t="str">
        <f>IF('Cleaned Data'!E10&lt;'Cleaned Data'!D10,"ERROR","OK")</f>
        <v>OK</v>
      </c>
      <c r="M10" s="8" t="str">
        <f>IF(OR('Cleaned Data'!F10="",'Cleaned Data'!G10="",'Cleaned Data'!H10=""),"",IF('Cleaned Data'!F10=0,"CHECK",IF(ABS(('Cleaned Data'!G10/'Cleaned Data'!F10)-'Cleaned Data'!H10)&lt;=0.01,"OK","CHECK")))</f>
        <v>OK</v>
      </c>
    </row>
    <row r="11">
      <c r="A11" s="1" t="s">
        <v>401</v>
      </c>
      <c r="L11" s="8" t="str">
        <f>IF('Cleaned Data'!E11&lt;'Cleaned Data'!D11,"ERROR","OK")</f>
        <v>OK</v>
      </c>
      <c r="M11" s="8" t="str">
        <f>IF(OR('Cleaned Data'!F11="",'Cleaned Data'!G11="",'Cleaned Data'!H11=""),"",IF('Cleaned Data'!F11=0,"CHECK",IF(ABS(('Cleaned Data'!G11/'Cleaned Data'!F11)-'Cleaned Data'!H11)&lt;=0.01,"OK","CHECK")))</f>
        <v>OK</v>
      </c>
    </row>
    <row r="12">
      <c r="L12" s="8" t="str">
        <f>IF('Cleaned Data'!E12&lt;'Cleaned Data'!D12,"ERROR","OK")</f>
        <v>OK</v>
      </c>
      <c r="M12" s="8" t="str">
        <f>IF(OR('Cleaned Data'!F12="",'Cleaned Data'!G12="",'Cleaned Data'!H12=""),"",IF('Cleaned Data'!F12=0,"CHECK",IF(ABS(('Cleaned Data'!G12/'Cleaned Data'!F12)-'Cleaned Data'!H12)&lt;=0.01,"OK","CHECK")))</f>
        <v>OK</v>
      </c>
    </row>
    <row r="13">
      <c r="A13" s="1" t="s">
        <v>402</v>
      </c>
      <c r="B13" s="8">
        <f>COUNTIF('Cleaned Data'!F2:F281,"&lt;1")</f>
        <v>0</v>
      </c>
      <c r="L13" s="8" t="str">
        <f>IF('Cleaned Data'!E13&lt;'Cleaned Data'!D13,"ERROR","OK")</f>
        <v>OK</v>
      </c>
      <c r="M13" s="8" t="str">
        <f>IF(OR('Cleaned Data'!F13="",'Cleaned Data'!G13="",'Cleaned Data'!H13=""),"",IF('Cleaned Data'!F13=0,"CHECK",IF(ABS(('Cleaned Data'!G13/'Cleaned Data'!F13)-'Cleaned Data'!H13)&lt;=0.01,"OK","CHECK")))</f>
        <v>OK</v>
      </c>
    </row>
    <row r="14">
      <c r="A14" s="1" t="s">
        <v>403</v>
      </c>
      <c r="B14" s="8">
        <f>COUNTIF('Cleaned Data'!G2:G281,"&lt;=0")</f>
        <v>0</v>
      </c>
      <c r="L14" s="8" t="str">
        <f>IF('Cleaned Data'!E14&lt;'Cleaned Data'!D14,"ERROR","OK")</f>
        <v>OK</v>
      </c>
      <c r="M14" s="8" t="str">
        <f>IF(OR('Cleaned Data'!F14="",'Cleaned Data'!G14="",'Cleaned Data'!H14=""),"",IF('Cleaned Data'!F14=0,"CHECK",IF(ABS(('Cleaned Data'!G14/'Cleaned Data'!F14)-'Cleaned Data'!H14)&lt;=0.01,"OK","CHECK")))</f>
        <v>OK</v>
      </c>
    </row>
    <row r="15">
      <c r="A15" s="1" t="s">
        <v>404</v>
      </c>
      <c r="B15" s="8">
        <f>COUNTIF('Cleaned Data'!H2:H281,"&lt;=0")</f>
        <v>0</v>
      </c>
      <c r="L15" s="8" t="str">
        <f>IF('Cleaned Data'!E15&lt;'Cleaned Data'!D15,"ERROR","OK")</f>
        <v>OK</v>
      </c>
      <c r="M15" s="8" t="str">
        <f>IF(OR('Cleaned Data'!F15="",'Cleaned Data'!G15="",'Cleaned Data'!H15=""),"",IF('Cleaned Data'!F15=0,"CHECK",IF(ABS(('Cleaned Data'!G15/'Cleaned Data'!F15)-'Cleaned Data'!H15)&lt;=0.01,"OK","CHECK")))</f>
        <v>OK</v>
      </c>
    </row>
    <row r="16">
      <c r="A16" s="1" t="s">
        <v>405</v>
      </c>
      <c r="B16" s="8">
        <f>COUNTIF('Cleaned Data'!I2:I281,"&lt;0")</f>
        <v>0</v>
      </c>
      <c r="L16" s="8" t="str">
        <f>IF('Cleaned Data'!E16&lt;'Cleaned Data'!D16,"ERROR","OK")</f>
        <v>OK</v>
      </c>
      <c r="M16" s="8" t="str">
        <f>IF(OR('Cleaned Data'!F16="",'Cleaned Data'!G16="",'Cleaned Data'!H16=""),"",IF('Cleaned Data'!F16=0,"CHECK",IF(ABS(('Cleaned Data'!G16/'Cleaned Data'!F16)-'Cleaned Data'!H16)&lt;=0.01,"OK","CHECK")))</f>
        <v>OK</v>
      </c>
    </row>
    <row r="17">
      <c r="A17" s="1" t="s">
        <v>406</v>
      </c>
      <c r="B17" s="8">
        <f>COUNTIF('Cleaned Data'!K2:K281,"&lt;0")</f>
        <v>0</v>
      </c>
      <c r="L17" s="8" t="str">
        <f>IF('Cleaned Data'!E17&lt;'Cleaned Data'!D17,"ERROR","OK")</f>
        <v>OK</v>
      </c>
      <c r="M17" s="8" t="str">
        <f>IF(OR('Cleaned Data'!F17="",'Cleaned Data'!G17="",'Cleaned Data'!H17=""),"",IF('Cleaned Data'!F17=0,"CHECK",IF(ABS(('Cleaned Data'!G17/'Cleaned Data'!F17)-'Cleaned Data'!H17)&lt;=0.01,"OK","CHECK")))</f>
        <v>OK</v>
      </c>
    </row>
    <row r="18">
      <c r="L18" s="8" t="str">
        <f>IF('Cleaned Data'!E18&lt;'Cleaned Data'!D18,"ERROR","OK")</f>
        <v>OK</v>
      </c>
      <c r="M18" s="8" t="str">
        <f>IF(OR('Cleaned Data'!F18="",'Cleaned Data'!G18="",'Cleaned Data'!H18=""),"",IF('Cleaned Data'!F18=0,"CHECK",IF(ABS(('Cleaned Data'!G18/'Cleaned Data'!F18)-'Cleaned Data'!H18)&lt;=0.01,"OK","CHECK")))</f>
        <v>OK</v>
      </c>
    </row>
    <row r="19">
      <c r="L19" s="8" t="str">
        <f>IF('Cleaned Data'!E19&lt;'Cleaned Data'!D19,"ERROR","OK")</f>
        <v>OK</v>
      </c>
      <c r="M19" s="8" t="str">
        <f>IF(OR('Cleaned Data'!F19="",'Cleaned Data'!G19="",'Cleaned Data'!H19=""),"",IF('Cleaned Data'!F19=0,"CHECK",IF(ABS(('Cleaned Data'!G19/'Cleaned Data'!F19)-'Cleaned Data'!H19)&lt;=0.01,"OK","CHECK")))</f>
        <v>OK</v>
      </c>
    </row>
    <row r="20">
      <c r="A20" s="1" t="s">
        <v>407</v>
      </c>
      <c r="L20" s="8" t="str">
        <f>IF('Cleaned Data'!E20&lt;'Cleaned Data'!D20,"ERROR","OK")</f>
        <v>OK</v>
      </c>
      <c r="M20" s="8" t="str">
        <f>IF(OR('Cleaned Data'!F20="",'Cleaned Data'!G20="",'Cleaned Data'!H20=""),"",IF('Cleaned Data'!F20=0,"CHECK",IF(ABS(('Cleaned Data'!G20/'Cleaned Data'!F20)-'Cleaned Data'!H20)&lt;=0.01,"OK","CHECK")))</f>
        <v>OK</v>
      </c>
    </row>
    <row r="21">
      <c r="L21" s="8" t="str">
        <f>IF('Cleaned Data'!E21&lt;'Cleaned Data'!D21,"ERROR","OK")</f>
        <v>OK</v>
      </c>
      <c r="M21" s="8" t="str">
        <f>IF(OR('Cleaned Data'!F21="",'Cleaned Data'!G21="",'Cleaned Data'!H21=""),"",IF('Cleaned Data'!F21=0,"CHECK",IF(ABS(('Cleaned Data'!G21/'Cleaned Data'!F21)-'Cleaned Data'!H21)&lt;=0.01,"OK","CHECK")))</f>
        <v>OK</v>
      </c>
    </row>
    <row r="22">
      <c r="A22" s="1" t="s">
        <v>408</v>
      </c>
      <c r="L22" s="8" t="str">
        <f>IF('Cleaned Data'!E22&lt;'Cleaned Data'!D22,"ERROR","OK")</f>
        <v>OK</v>
      </c>
      <c r="M22" s="8" t="str">
        <f>IF(OR('Cleaned Data'!F22="",'Cleaned Data'!G22="",'Cleaned Data'!H22=""),"",IF('Cleaned Data'!F22=0,"CHECK",IF(ABS(('Cleaned Data'!G22/'Cleaned Data'!F22)-'Cleaned Data'!H22)&lt;=0.01,"OK","CHECK")))</f>
        <v>OK</v>
      </c>
    </row>
    <row r="23">
      <c r="L23" s="8" t="str">
        <f>IF('Cleaned Data'!E23&lt;'Cleaned Data'!D23,"ERROR","OK")</f>
        <v>OK</v>
      </c>
      <c r="M23" s="8" t="str">
        <f>IF(OR('Cleaned Data'!F23="",'Cleaned Data'!G23="",'Cleaned Data'!H23=""),"",IF('Cleaned Data'!F23=0,"CHECK",IF(ABS(('Cleaned Data'!G23/'Cleaned Data'!F23)-'Cleaned Data'!H23)&lt;=0.01,"OK","CHECK")))</f>
        <v>OK</v>
      </c>
    </row>
    <row r="24">
      <c r="L24" s="8" t="str">
        <f>IF('Cleaned Data'!E24&lt;'Cleaned Data'!D24,"ERROR","OK")</f>
        <v>OK</v>
      </c>
      <c r="M24" s="8" t="str">
        <f>IF(OR('Cleaned Data'!F24="",'Cleaned Data'!G24="",'Cleaned Data'!H24=""),"",IF('Cleaned Data'!F24=0,"CHECK",IF(ABS(('Cleaned Data'!G24/'Cleaned Data'!F24)-'Cleaned Data'!H24)&lt;=0.01,"OK","CHECK")))</f>
        <v>OK</v>
      </c>
    </row>
    <row r="25">
      <c r="L25" s="8" t="str">
        <f>IF('Cleaned Data'!E25&lt;'Cleaned Data'!D25,"ERROR","OK")</f>
        <v>OK</v>
      </c>
      <c r="M25" s="8" t="str">
        <f>IF(OR('Cleaned Data'!F25="",'Cleaned Data'!G25="",'Cleaned Data'!H25=""),"",IF('Cleaned Data'!F25=0,"CHECK",IF(ABS(('Cleaned Data'!G25/'Cleaned Data'!F25)-'Cleaned Data'!H25)&lt;=0.01,"OK","CHECK")))</f>
        <v>OK</v>
      </c>
    </row>
    <row r="26">
      <c r="A26" s="1" t="s">
        <v>409</v>
      </c>
      <c r="L26" s="8" t="str">
        <f>IF('Cleaned Data'!E26&lt;'Cleaned Data'!D26,"ERROR","OK")</f>
        <v>OK</v>
      </c>
      <c r="M26" s="8" t="str">
        <f>IF(OR('Cleaned Data'!F26="",'Cleaned Data'!G26="",'Cleaned Data'!H26=""),"",IF('Cleaned Data'!F26=0,"CHECK",IF(ABS(('Cleaned Data'!G26/'Cleaned Data'!F26)-'Cleaned Data'!H26)&lt;=0.01,"OK","CHECK")))</f>
        <v>OK</v>
      </c>
    </row>
    <row r="27">
      <c r="L27" s="8" t="str">
        <f>IF('Cleaned Data'!E27&lt;'Cleaned Data'!D27,"ERROR","OK")</f>
        <v>OK</v>
      </c>
      <c r="M27" s="8" t="str">
        <f>IF(OR('Cleaned Data'!F27="",'Cleaned Data'!G27="",'Cleaned Data'!H27=""),"",IF('Cleaned Data'!F27=0,"CHECK",IF(ABS(('Cleaned Data'!G27/'Cleaned Data'!F27)-'Cleaned Data'!H27)&lt;=0.01,"OK","CHECK")))</f>
        <v>OK</v>
      </c>
    </row>
    <row r="28">
      <c r="A28" s="1" t="s">
        <v>410</v>
      </c>
      <c r="L28" s="8" t="str">
        <f>IF('Cleaned Data'!E28&lt;'Cleaned Data'!D28,"ERROR","OK")</f>
        <v>OK</v>
      </c>
      <c r="M28" s="8" t="str">
        <f>IF(OR('Cleaned Data'!F28="",'Cleaned Data'!G28="",'Cleaned Data'!H28=""),"",IF('Cleaned Data'!F28=0,"CHECK",IF(ABS(('Cleaned Data'!G28/'Cleaned Data'!F28)-'Cleaned Data'!H28)&lt;=0.01,"OK","CHECK")))</f>
        <v>OK</v>
      </c>
    </row>
    <row r="29">
      <c r="L29" s="8" t="str">
        <f>IF('Cleaned Data'!E29&lt;'Cleaned Data'!D29,"ERROR","OK")</f>
        <v>OK</v>
      </c>
      <c r="M29" s="8" t="str">
        <f>IF(OR('Cleaned Data'!F29="",'Cleaned Data'!G29="",'Cleaned Data'!H29=""),"",IF('Cleaned Data'!F29=0,"CHECK",IF(ABS(('Cleaned Data'!G29/'Cleaned Data'!F29)-'Cleaned Data'!H29)&lt;=0.01,"OK","CHECK")))</f>
        <v>OK</v>
      </c>
    </row>
    <row r="30">
      <c r="L30" s="8" t="str">
        <f>IF('Cleaned Data'!E30&lt;'Cleaned Data'!D30,"ERROR","OK")</f>
        <v>OK</v>
      </c>
      <c r="M30" s="8" t="str">
        <f>IF(OR('Cleaned Data'!F30="",'Cleaned Data'!G30="",'Cleaned Data'!H30=""),"",IF('Cleaned Data'!F30=0,"CHECK",IF(ABS(('Cleaned Data'!G30/'Cleaned Data'!F30)-'Cleaned Data'!H30)&lt;=0.01,"OK","CHECK")))</f>
        <v>OK</v>
      </c>
    </row>
    <row r="31">
      <c r="L31" s="8" t="str">
        <f>IF('Cleaned Data'!E31&lt;'Cleaned Data'!D31,"ERROR","OK")</f>
        <v>OK</v>
      </c>
      <c r="M31" s="8" t="str">
        <f>IF(OR('Cleaned Data'!F31="",'Cleaned Data'!G31="",'Cleaned Data'!H31=""),"",IF('Cleaned Data'!F31=0,"CHECK",IF(ABS(('Cleaned Data'!G31/'Cleaned Data'!F31)-'Cleaned Data'!H31)&lt;=0.01,"OK","CHECK")))</f>
        <v>OK</v>
      </c>
    </row>
    <row r="32">
      <c r="L32" s="8" t="str">
        <f>IF('Cleaned Data'!E32&lt;'Cleaned Data'!D32,"ERROR","OK")</f>
        <v>OK</v>
      </c>
      <c r="M32" s="8" t="str">
        <f>IF(OR('Cleaned Data'!F32="",'Cleaned Data'!G32="",'Cleaned Data'!H32=""),"",IF('Cleaned Data'!F32=0,"CHECK",IF(ABS(('Cleaned Data'!G32/'Cleaned Data'!F32)-'Cleaned Data'!H32)&lt;=0.01,"OK","CHECK")))</f>
        <v>OK</v>
      </c>
    </row>
    <row r="33">
      <c r="L33" s="8" t="str">
        <f>IF('Cleaned Data'!E33&lt;'Cleaned Data'!D33,"ERROR","OK")</f>
        <v>OK</v>
      </c>
      <c r="M33" s="8" t="str">
        <f>IF(OR('Cleaned Data'!F33="",'Cleaned Data'!G33="",'Cleaned Data'!H33=""),"",IF('Cleaned Data'!F33=0,"CHECK",IF(ABS(('Cleaned Data'!G33/'Cleaned Data'!F33)-'Cleaned Data'!H33)&lt;=0.01,"OK","CHECK")))</f>
        <v>OK</v>
      </c>
    </row>
    <row r="34">
      <c r="L34" s="8" t="str">
        <f>IF('Cleaned Data'!E34&lt;'Cleaned Data'!D34,"ERROR","OK")</f>
        <v>OK</v>
      </c>
      <c r="M34" s="8" t="str">
        <f>IF(OR('Cleaned Data'!F34="",'Cleaned Data'!G34="",'Cleaned Data'!H34=""),"",IF('Cleaned Data'!F34=0,"CHECK",IF(ABS(('Cleaned Data'!G34/'Cleaned Data'!F34)-'Cleaned Data'!H34)&lt;=0.01,"OK","CHECK")))</f>
        <v>OK</v>
      </c>
    </row>
    <row r="35">
      <c r="L35" s="8" t="str">
        <f>IF('Cleaned Data'!E35&lt;'Cleaned Data'!D35,"ERROR","OK")</f>
        <v>OK</v>
      </c>
      <c r="M35" s="8" t="str">
        <f>IF(OR('Cleaned Data'!F35="",'Cleaned Data'!G35="",'Cleaned Data'!H35=""),"",IF('Cleaned Data'!F35=0,"CHECK",IF(ABS(('Cleaned Data'!G35/'Cleaned Data'!F35)-'Cleaned Data'!H35)&lt;=0.01,"OK","CHECK")))</f>
        <v>OK</v>
      </c>
    </row>
    <row r="36">
      <c r="L36" s="8" t="str">
        <f>IF('Cleaned Data'!E36&lt;'Cleaned Data'!D36,"ERROR","OK")</f>
        <v>OK</v>
      </c>
      <c r="M36" s="8" t="str">
        <f>IF(OR('Cleaned Data'!F36="",'Cleaned Data'!G36="",'Cleaned Data'!H36=""),"",IF('Cleaned Data'!F36=0,"CHECK",IF(ABS(('Cleaned Data'!G36/'Cleaned Data'!F36)-'Cleaned Data'!H36)&lt;=0.01,"OK","CHECK")))</f>
        <v>OK</v>
      </c>
    </row>
    <row r="37">
      <c r="L37" s="8" t="str">
        <f>IF('Cleaned Data'!E37&lt;'Cleaned Data'!D37,"ERROR","OK")</f>
        <v>OK</v>
      </c>
      <c r="M37" s="8" t="str">
        <f>IF(OR('Cleaned Data'!F37="",'Cleaned Data'!G37="",'Cleaned Data'!H37=""),"",IF('Cleaned Data'!F37=0,"CHECK",IF(ABS(('Cleaned Data'!G37/'Cleaned Data'!F37)-'Cleaned Data'!H37)&lt;=0.01,"OK","CHECK")))</f>
        <v>OK</v>
      </c>
    </row>
    <row r="38">
      <c r="L38" s="8" t="str">
        <f>IF('Cleaned Data'!E38&lt;'Cleaned Data'!D38,"ERROR","OK")</f>
        <v>OK</v>
      </c>
      <c r="M38" s="8" t="str">
        <f>IF(OR('Cleaned Data'!F38="",'Cleaned Data'!G38="",'Cleaned Data'!H38=""),"",IF('Cleaned Data'!F38=0,"CHECK",IF(ABS(('Cleaned Data'!G38/'Cleaned Data'!F38)-'Cleaned Data'!H38)&lt;=0.01,"OK","CHECK")))</f>
        <v>OK</v>
      </c>
    </row>
    <row r="39">
      <c r="L39" s="8" t="str">
        <f>IF('Cleaned Data'!E39&lt;'Cleaned Data'!D39,"ERROR","OK")</f>
        <v>OK</v>
      </c>
      <c r="M39" s="8" t="str">
        <f>IF(OR('Cleaned Data'!F39="",'Cleaned Data'!G39="",'Cleaned Data'!H39=""),"",IF('Cleaned Data'!F39=0,"CHECK",IF(ABS(('Cleaned Data'!G39/'Cleaned Data'!F39)-'Cleaned Data'!H39)&lt;=0.01,"OK","CHECK")))</f>
        <v>OK</v>
      </c>
    </row>
    <row r="40">
      <c r="L40" s="8" t="str">
        <f>IF('Cleaned Data'!E40&lt;'Cleaned Data'!D40,"ERROR","OK")</f>
        <v>OK</v>
      </c>
      <c r="M40" s="8" t="str">
        <f>IF(OR('Cleaned Data'!F40="",'Cleaned Data'!G40="",'Cleaned Data'!H40=""),"",IF('Cleaned Data'!F40=0,"CHECK",IF(ABS(('Cleaned Data'!G40/'Cleaned Data'!F40)-'Cleaned Data'!H40)&lt;=0.01,"OK","CHECK")))</f>
        <v>OK</v>
      </c>
    </row>
    <row r="41">
      <c r="L41" s="8" t="str">
        <f>IF('Cleaned Data'!E41&lt;'Cleaned Data'!D41,"ERROR","OK")</f>
        <v>OK</v>
      </c>
      <c r="M41" s="8" t="str">
        <f>IF(OR('Cleaned Data'!F41="",'Cleaned Data'!G41="",'Cleaned Data'!H41=""),"",IF('Cleaned Data'!F41=0,"CHECK",IF(ABS(('Cleaned Data'!G41/'Cleaned Data'!F41)-'Cleaned Data'!H41)&lt;=0.01,"OK","CHECK")))</f>
        <v>OK</v>
      </c>
    </row>
    <row r="42">
      <c r="L42" s="8" t="str">
        <f>IF('Cleaned Data'!E42&lt;'Cleaned Data'!D42,"ERROR","OK")</f>
        <v>OK</v>
      </c>
      <c r="M42" s="8" t="str">
        <f>IF(OR('Cleaned Data'!F42="",'Cleaned Data'!G42="",'Cleaned Data'!H42=""),"",IF('Cleaned Data'!F42=0,"CHECK",IF(ABS(('Cleaned Data'!G42/'Cleaned Data'!F42)-'Cleaned Data'!H42)&lt;=0.01,"OK","CHECK")))</f>
        <v>OK</v>
      </c>
    </row>
    <row r="43">
      <c r="L43" s="8" t="str">
        <f>IF('Cleaned Data'!E43&lt;'Cleaned Data'!D43,"ERROR","OK")</f>
        <v>OK</v>
      </c>
      <c r="M43" s="8" t="str">
        <f>IF(OR('Cleaned Data'!F43="",'Cleaned Data'!G43="",'Cleaned Data'!H43=""),"",IF('Cleaned Data'!F43=0,"CHECK",IF(ABS(('Cleaned Data'!G43/'Cleaned Data'!F43)-'Cleaned Data'!H43)&lt;=0.01,"OK","CHECK")))</f>
        <v>OK</v>
      </c>
    </row>
    <row r="44">
      <c r="L44" s="8" t="str">
        <f>IF('Cleaned Data'!E44&lt;'Cleaned Data'!D44,"ERROR","OK")</f>
        <v>OK</v>
      </c>
      <c r="M44" s="8" t="str">
        <f>IF(OR('Cleaned Data'!F44="",'Cleaned Data'!G44="",'Cleaned Data'!H44=""),"",IF('Cleaned Data'!F44=0,"CHECK",IF(ABS(('Cleaned Data'!G44/'Cleaned Data'!F44)-'Cleaned Data'!H44)&lt;=0.01,"OK","CHECK")))</f>
        <v>OK</v>
      </c>
    </row>
    <row r="45">
      <c r="L45" s="8" t="str">
        <f>IF('Cleaned Data'!E45&lt;'Cleaned Data'!D45,"ERROR","OK")</f>
        <v>OK</v>
      </c>
      <c r="M45" s="8" t="str">
        <f>IF(OR('Cleaned Data'!F45="",'Cleaned Data'!G45="",'Cleaned Data'!H45=""),"",IF('Cleaned Data'!F45=0,"CHECK",IF(ABS(('Cleaned Data'!G45/'Cleaned Data'!F45)-'Cleaned Data'!H45)&lt;=0.01,"OK","CHECK")))</f>
        <v>OK</v>
      </c>
    </row>
    <row r="46">
      <c r="L46" s="8" t="str">
        <f>IF('Cleaned Data'!E46&lt;'Cleaned Data'!D46,"ERROR","OK")</f>
        <v>OK</v>
      </c>
      <c r="M46" s="8" t="str">
        <f>IF(OR('Cleaned Data'!F46="",'Cleaned Data'!G46="",'Cleaned Data'!H46=""),"",IF('Cleaned Data'!F46=0,"CHECK",IF(ABS(('Cleaned Data'!G46/'Cleaned Data'!F46)-'Cleaned Data'!H46)&lt;=0.01,"OK","CHECK")))</f>
        <v>OK</v>
      </c>
    </row>
    <row r="47">
      <c r="L47" s="8" t="str">
        <f>IF('Cleaned Data'!E47&lt;'Cleaned Data'!D47,"ERROR","OK")</f>
        <v>OK</v>
      </c>
      <c r="M47" s="8" t="str">
        <f>IF(OR('Cleaned Data'!F47="",'Cleaned Data'!G47="",'Cleaned Data'!H47=""),"",IF('Cleaned Data'!F47=0,"CHECK",IF(ABS(('Cleaned Data'!G47/'Cleaned Data'!F47)-'Cleaned Data'!H47)&lt;=0.01,"OK","CHECK")))</f>
        <v>OK</v>
      </c>
    </row>
    <row r="48">
      <c r="L48" s="8" t="str">
        <f>IF('Cleaned Data'!E48&lt;'Cleaned Data'!D48,"ERROR","OK")</f>
        <v>OK</v>
      </c>
      <c r="M48" s="8" t="str">
        <f>IF(OR('Cleaned Data'!F48="",'Cleaned Data'!G48="",'Cleaned Data'!H48=""),"",IF('Cleaned Data'!F48=0,"CHECK",IF(ABS(('Cleaned Data'!G48/'Cleaned Data'!F48)-'Cleaned Data'!H48)&lt;=0.01,"OK","CHECK")))</f>
        <v>OK</v>
      </c>
    </row>
    <row r="49">
      <c r="L49" s="8" t="str">
        <f>IF('Cleaned Data'!E49&lt;'Cleaned Data'!D49,"ERROR","OK")</f>
        <v>OK</v>
      </c>
      <c r="M49" s="8" t="str">
        <f>IF(OR('Cleaned Data'!F49="",'Cleaned Data'!G49="",'Cleaned Data'!H49=""),"",IF('Cleaned Data'!F49=0,"CHECK",IF(ABS(('Cleaned Data'!G49/'Cleaned Data'!F49)-'Cleaned Data'!H49)&lt;=0.01,"OK","CHECK")))</f>
        <v>OK</v>
      </c>
    </row>
    <row r="50">
      <c r="L50" s="8" t="str">
        <f>IF('Cleaned Data'!E50&lt;'Cleaned Data'!D50,"ERROR","OK")</f>
        <v>OK</v>
      </c>
      <c r="M50" s="8" t="str">
        <f>IF(OR('Cleaned Data'!F50="",'Cleaned Data'!G50="",'Cleaned Data'!H50=""),"",IF('Cleaned Data'!F50=0,"CHECK",IF(ABS(('Cleaned Data'!G50/'Cleaned Data'!F50)-'Cleaned Data'!H50)&lt;=0.01,"OK","CHECK")))</f>
        <v>OK</v>
      </c>
    </row>
    <row r="51">
      <c r="L51" s="8" t="str">
        <f>IF('Cleaned Data'!E51&lt;'Cleaned Data'!D51,"ERROR","OK")</f>
        <v>OK</v>
      </c>
      <c r="M51" s="8" t="str">
        <f>IF(OR('Cleaned Data'!F51="",'Cleaned Data'!G51="",'Cleaned Data'!H51=""),"",IF('Cleaned Data'!F51=0,"CHECK",IF(ABS(('Cleaned Data'!G51/'Cleaned Data'!F51)-'Cleaned Data'!H51)&lt;=0.01,"OK","CHECK")))</f>
        <v>OK</v>
      </c>
    </row>
    <row r="52">
      <c r="L52" s="8" t="str">
        <f>IF('Cleaned Data'!E52&lt;'Cleaned Data'!D52,"ERROR","OK")</f>
        <v>OK</v>
      </c>
      <c r="M52" s="8" t="str">
        <f>IF(OR('Cleaned Data'!F52="",'Cleaned Data'!G52="",'Cleaned Data'!H52=""),"",IF('Cleaned Data'!F52=0,"CHECK",IF(ABS(('Cleaned Data'!G52/'Cleaned Data'!F52)-'Cleaned Data'!H52)&lt;=0.01,"OK","CHECK")))</f>
        <v>OK</v>
      </c>
    </row>
    <row r="53">
      <c r="L53" s="8" t="str">
        <f>IF('Cleaned Data'!E53&lt;'Cleaned Data'!D53,"ERROR","OK")</f>
        <v>OK</v>
      </c>
      <c r="M53" s="8" t="str">
        <f>IF(OR('Cleaned Data'!F53="",'Cleaned Data'!G53="",'Cleaned Data'!H53=""),"",IF('Cleaned Data'!F53=0,"CHECK",IF(ABS(('Cleaned Data'!G53/'Cleaned Data'!F53)-'Cleaned Data'!H53)&lt;=0.01,"OK","CHECK")))</f>
        <v>OK</v>
      </c>
    </row>
    <row r="54">
      <c r="L54" s="8" t="str">
        <f>IF('Cleaned Data'!E54&lt;'Cleaned Data'!D54,"ERROR","OK")</f>
        <v>OK</v>
      </c>
      <c r="M54" s="8" t="str">
        <f>IF(OR('Cleaned Data'!F54="",'Cleaned Data'!G54="",'Cleaned Data'!H54=""),"",IF('Cleaned Data'!F54=0,"CHECK",IF(ABS(('Cleaned Data'!G54/'Cleaned Data'!F54)-'Cleaned Data'!H54)&lt;=0.01,"OK","CHECK")))</f>
        <v>OK</v>
      </c>
    </row>
    <row r="55">
      <c r="L55" s="8" t="str">
        <f>IF('Cleaned Data'!E55&lt;'Cleaned Data'!D55,"ERROR","OK")</f>
        <v>OK</v>
      </c>
      <c r="M55" s="8" t="str">
        <f>IF(OR('Cleaned Data'!F55="",'Cleaned Data'!G55="",'Cleaned Data'!H55=""),"",IF('Cleaned Data'!F55=0,"CHECK",IF(ABS(('Cleaned Data'!G55/'Cleaned Data'!F55)-'Cleaned Data'!H55)&lt;=0.01,"OK","CHECK")))</f>
        <v>OK</v>
      </c>
    </row>
    <row r="56">
      <c r="L56" s="8" t="str">
        <f>IF('Cleaned Data'!E56&lt;'Cleaned Data'!D56,"ERROR","OK")</f>
        <v>OK</v>
      </c>
      <c r="M56" s="8" t="str">
        <f>IF(OR('Cleaned Data'!F56="",'Cleaned Data'!G56="",'Cleaned Data'!H56=""),"",IF('Cleaned Data'!F56=0,"CHECK",IF(ABS(('Cleaned Data'!G56/'Cleaned Data'!F56)-'Cleaned Data'!H56)&lt;=0.01,"OK","CHECK")))</f>
        <v>OK</v>
      </c>
    </row>
    <row r="57">
      <c r="L57" s="8" t="str">
        <f>IF('Cleaned Data'!E57&lt;'Cleaned Data'!D57,"ERROR","OK")</f>
        <v>OK</v>
      </c>
      <c r="M57" s="8" t="str">
        <f>IF(OR('Cleaned Data'!F57="",'Cleaned Data'!G57="",'Cleaned Data'!H57=""),"",IF('Cleaned Data'!F57=0,"CHECK",IF(ABS(('Cleaned Data'!G57/'Cleaned Data'!F57)-'Cleaned Data'!H57)&lt;=0.01,"OK","CHECK")))</f>
        <v>OK</v>
      </c>
    </row>
    <row r="58">
      <c r="L58" s="8" t="str">
        <f>IF('Cleaned Data'!E58&lt;'Cleaned Data'!D58,"ERROR","OK")</f>
        <v>OK</v>
      </c>
      <c r="M58" s="8" t="str">
        <f>IF(OR('Cleaned Data'!F58="",'Cleaned Data'!G58="",'Cleaned Data'!H58=""),"",IF('Cleaned Data'!F58=0,"CHECK",IF(ABS(('Cleaned Data'!G58/'Cleaned Data'!F58)-'Cleaned Data'!H58)&lt;=0.01,"OK","CHECK")))</f>
        <v>OK</v>
      </c>
    </row>
    <row r="59">
      <c r="L59" s="8" t="str">
        <f>IF('Cleaned Data'!E59&lt;'Cleaned Data'!D59,"ERROR","OK")</f>
        <v>OK</v>
      </c>
      <c r="M59" s="8" t="str">
        <f>IF(OR('Cleaned Data'!F59="",'Cleaned Data'!G59="",'Cleaned Data'!H59=""),"",IF('Cleaned Data'!F59=0,"CHECK",IF(ABS(('Cleaned Data'!G59/'Cleaned Data'!F59)-'Cleaned Data'!H59)&lt;=0.01,"OK","CHECK")))</f>
        <v>OK</v>
      </c>
    </row>
    <row r="60">
      <c r="L60" s="8" t="str">
        <f>IF('Cleaned Data'!E60&lt;'Cleaned Data'!D60,"ERROR","OK")</f>
        <v>OK</v>
      </c>
      <c r="M60" s="8" t="str">
        <f>IF(OR('Cleaned Data'!F60="",'Cleaned Data'!G60="",'Cleaned Data'!H60=""),"",IF('Cleaned Data'!F60=0,"CHECK",IF(ABS(('Cleaned Data'!G60/'Cleaned Data'!F60)-'Cleaned Data'!H60)&lt;=0.01,"OK","CHECK")))</f>
        <v>OK</v>
      </c>
    </row>
    <row r="61">
      <c r="L61" s="8" t="str">
        <f>IF('Cleaned Data'!E61&lt;'Cleaned Data'!D61,"ERROR","OK")</f>
        <v>OK</v>
      </c>
      <c r="M61" s="8" t="str">
        <f>IF(OR('Cleaned Data'!F61="",'Cleaned Data'!G61="",'Cleaned Data'!H61=""),"",IF('Cleaned Data'!F61=0,"CHECK",IF(ABS(('Cleaned Data'!G61/'Cleaned Data'!F61)-'Cleaned Data'!H61)&lt;=0.01,"OK","CHECK")))</f>
        <v>OK</v>
      </c>
    </row>
    <row r="62">
      <c r="L62" s="8" t="str">
        <f>IF('Cleaned Data'!E62&lt;'Cleaned Data'!D62,"ERROR","OK")</f>
        <v>OK</v>
      </c>
      <c r="M62" s="8" t="str">
        <f>IF(OR('Cleaned Data'!F62="",'Cleaned Data'!G62="",'Cleaned Data'!H62=""),"",IF('Cleaned Data'!F62=0,"CHECK",IF(ABS(('Cleaned Data'!G62/'Cleaned Data'!F62)-'Cleaned Data'!H62)&lt;=0.01,"OK","CHECK")))</f>
        <v>OK</v>
      </c>
    </row>
    <row r="63">
      <c r="L63" s="8" t="str">
        <f>IF('Cleaned Data'!E63&lt;'Cleaned Data'!D63,"ERROR","OK")</f>
        <v>OK</v>
      </c>
      <c r="M63" s="8" t="str">
        <f>IF(OR('Cleaned Data'!F63="",'Cleaned Data'!G63="",'Cleaned Data'!H63=""),"",IF('Cleaned Data'!F63=0,"CHECK",IF(ABS(('Cleaned Data'!G63/'Cleaned Data'!F63)-'Cleaned Data'!H63)&lt;=0.01,"OK","CHECK")))</f>
        <v>OK</v>
      </c>
    </row>
    <row r="64">
      <c r="L64" s="8" t="str">
        <f>IF('Cleaned Data'!E64&lt;'Cleaned Data'!D64,"ERROR","OK")</f>
        <v>OK</v>
      </c>
      <c r="M64" s="8" t="str">
        <f>IF(OR('Cleaned Data'!F64="",'Cleaned Data'!G64="",'Cleaned Data'!H64=""),"",IF('Cleaned Data'!F64=0,"CHECK",IF(ABS(('Cleaned Data'!G64/'Cleaned Data'!F64)-'Cleaned Data'!H64)&lt;=0.01,"OK","CHECK")))</f>
        <v>OK</v>
      </c>
    </row>
    <row r="65">
      <c r="L65" s="8" t="str">
        <f>IF('Cleaned Data'!E65&lt;'Cleaned Data'!D65,"ERROR","OK")</f>
        <v>OK</v>
      </c>
      <c r="M65" s="8" t="str">
        <f>IF(OR('Cleaned Data'!F65="",'Cleaned Data'!G65="",'Cleaned Data'!H65=""),"",IF('Cleaned Data'!F65=0,"CHECK",IF(ABS(('Cleaned Data'!G65/'Cleaned Data'!F65)-'Cleaned Data'!H65)&lt;=0.01,"OK","CHECK")))</f>
        <v>OK</v>
      </c>
    </row>
    <row r="66">
      <c r="L66" s="8" t="str">
        <f>IF('Cleaned Data'!E66&lt;'Cleaned Data'!D66,"ERROR","OK")</f>
        <v>OK</v>
      </c>
      <c r="M66" s="8" t="str">
        <f>IF(OR('Cleaned Data'!F66="",'Cleaned Data'!G66="",'Cleaned Data'!H66=""),"",IF('Cleaned Data'!F66=0,"CHECK",IF(ABS(('Cleaned Data'!G66/'Cleaned Data'!F66)-'Cleaned Data'!H66)&lt;=0.01,"OK","CHECK")))</f>
        <v>OK</v>
      </c>
    </row>
    <row r="67">
      <c r="L67" s="8" t="str">
        <f>IF('Cleaned Data'!E67&lt;'Cleaned Data'!D67,"ERROR","OK")</f>
        <v>OK</v>
      </c>
      <c r="M67" s="8" t="str">
        <f>IF(OR('Cleaned Data'!F67="",'Cleaned Data'!G67="",'Cleaned Data'!H67=""),"",IF('Cleaned Data'!F67=0,"CHECK",IF(ABS(('Cleaned Data'!G67/'Cleaned Data'!F67)-'Cleaned Data'!H67)&lt;=0.01,"OK","CHECK")))</f>
        <v>OK</v>
      </c>
    </row>
    <row r="68">
      <c r="L68" s="8" t="str">
        <f>IF('Cleaned Data'!E68&lt;'Cleaned Data'!D68,"ERROR","OK")</f>
        <v>OK</v>
      </c>
      <c r="M68" s="8" t="str">
        <f>IF(OR('Cleaned Data'!F68="",'Cleaned Data'!G68="",'Cleaned Data'!H68=""),"",IF('Cleaned Data'!F68=0,"CHECK",IF(ABS(('Cleaned Data'!G68/'Cleaned Data'!F68)-'Cleaned Data'!H68)&lt;=0.01,"OK","CHECK")))</f>
        <v>OK</v>
      </c>
    </row>
    <row r="69">
      <c r="L69" s="8" t="str">
        <f>IF('Cleaned Data'!E69&lt;'Cleaned Data'!D69,"ERROR","OK")</f>
        <v>OK</v>
      </c>
      <c r="M69" s="8" t="str">
        <f>IF(OR('Cleaned Data'!F69="",'Cleaned Data'!G69="",'Cleaned Data'!H69=""),"",IF('Cleaned Data'!F69=0,"CHECK",IF(ABS(('Cleaned Data'!G69/'Cleaned Data'!F69)-'Cleaned Data'!H69)&lt;=0.01,"OK","CHECK")))</f>
        <v>OK</v>
      </c>
    </row>
    <row r="70">
      <c r="L70" s="8" t="str">
        <f>IF('Cleaned Data'!E70&lt;'Cleaned Data'!D70,"ERROR","OK")</f>
        <v>OK</v>
      </c>
      <c r="M70" s="8" t="str">
        <f>IF(OR('Cleaned Data'!F70="",'Cleaned Data'!G70="",'Cleaned Data'!H70=""),"",IF('Cleaned Data'!F70=0,"CHECK",IF(ABS(('Cleaned Data'!G70/'Cleaned Data'!F70)-'Cleaned Data'!H70)&lt;=0.01,"OK","CHECK")))</f>
        <v>OK</v>
      </c>
    </row>
    <row r="71">
      <c r="L71" s="8" t="str">
        <f>IF('Cleaned Data'!E71&lt;'Cleaned Data'!D71,"ERROR","OK")</f>
        <v>OK</v>
      </c>
      <c r="M71" s="8" t="str">
        <f>IF(OR('Cleaned Data'!F71="",'Cleaned Data'!G71="",'Cleaned Data'!H71=""),"",IF('Cleaned Data'!F71=0,"CHECK",IF(ABS(('Cleaned Data'!G71/'Cleaned Data'!F71)-'Cleaned Data'!H71)&lt;=0.01,"OK","CHECK")))</f>
        <v>OK</v>
      </c>
    </row>
    <row r="72">
      <c r="L72" s="8" t="str">
        <f>IF('Cleaned Data'!E72&lt;'Cleaned Data'!D72,"ERROR","OK")</f>
        <v>OK</v>
      </c>
      <c r="M72" s="8" t="str">
        <f>IF(OR('Cleaned Data'!F72="",'Cleaned Data'!G72="",'Cleaned Data'!H72=""),"",IF('Cleaned Data'!F72=0,"CHECK",IF(ABS(('Cleaned Data'!G72/'Cleaned Data'!F72)-'Cleaned Data'!H72)&lt;=0.01,"OK","CHECK")))</f>
        <v>OK</v>
      </c>
    </row>
    <row r="73">
      <c r="L73" s="8" t="str">
        <f>IF('Cleaned Data'!E73&lt;'Cleaned Data'!D73,"ERROR","OK")</f>
        <v>OK</v>
      </c>
      <c r="M73" s="8" t="str">
        <f>IF(OR('Cleaned Data'!F73="",'Cleaned Data'!G73="",'Cleaned Data'!H73=""),"",IF('Cleaned Data'!F73=0,"CHECK",IF(ABS(('Cleaned Data'!G73/'Cleaned Data'!F73)-'Cleaned Data'!H73)&lt;=0.01,"OK","CHECK")))</f>
        <v>OK</v>
      </c>
    </row>
    <row r="74">
      <c r="L74" s="8" t="str">
        <f>IF('Cleaned Data'!E74&lt;'Cleaned Data'!D74,"ERROR","OK")</f>
        <v>OK</v>
      </c>
      <c r="M74" s="8" t="str">
        <f>IF(OR('Cleaned Data'!F74="",'Cleaned Data'!G74="",'Cleaned Data'!H74=""),"",IF('Cleaned Data'!F74=0,"CHECK",IF(ABS(('Cleaned Data'!G74/'Cleaned Data'!F74)-'Cleaned Data'!H74)&lt;=0.01,"OK","CHECK")))</f>
        <v>OK</v>
      </c>
    </row>
    <row r="75">
      <c r="L75" s="8" t="str">
        <f>IF('Cleaned Data'!E75&lt;'Cleaned Data'!D75,"ERROR","OK")</f>
        <v>OK</v>
      </c>
      <c r="M75" s="8" t="str">
        <f>IF(OR('Cleaned Data'!F75="",'Cleaned Data'!G75="",'Cleaned Data'!H75=""),"",IF('Cleaned Data'!F75=0,"CHECK",IF(ABS(('Cleaned Data'!G75/'Cleaned Data'!F75)-'Cleaned Data'!H75)&lt;=0.01,"OK","CHECK")))</f>
        <v>OK</v>
      </c>
    </row>
    <row r="76">
      <c r="L76" s="8" t="str">
        <f>IF('Cleaned Data'!E76&lt;'Cleaned Data'!D76,"ERROR","OK")</f>
        <v>OK</v>
      </c>
      <c r="M76" s="8" t="str">
        <f>IF(OR('Cleaned Data'!F76="",'Cleaned Data'!G76="",'Cleaned Data'!H76=""),"",IF('Cleaned Data'!F76=0,"CHECK",IF(ABS(('Cleaned Data'!G76/'Cleaned Data'!F76)-'Cleaned Data'!H76)&lt;=0.01,"OK","CHECK")))</f>
        <v>OK</v>
      </c>
    </row>
    <row r="77">
      <c r="L77" s="8" t="str">
        <f>IF('Cleaned Data'!E77&lt;'Cleaned Data'!D77,"ERROR","OK")</f>
        <v>OK</v>
      </c>
      <c r="M77" s="8" t="str">
        <f>IF(OR('Cleaned Data'!F77="",'Cleaned Data'!G77="",'Cleaned Data'!H77=""),"",IF('Cleaned Data'!F77=0,"CHECK",IF(ABS(('Cleaned Data'!G77/'Cleaned Data'!F77)-'Cleaned Data'!H77)&lt;=0.01,"OK","CHECK")))</f>
        <v>OK</v>
      </c>
    </row>
    <row r="78">
      <c r="L78" s="8" t="str">
        <f>IF('Cleaned Data'!E78&lt;'Cleaned Data'!D78,"ERROR","OK")</f>
        <v>OK</v>
      </c>
      <c r="M78" s="8" t="str">
        <f>IF(OR('Cleaned Data'!F78="",'Cleaned Data'!G78="",'Cleaned Data'!H78=""),"",IF('Cleaned Data'!F78=0,"CHECK",IF(ABS(('Cleaned Data'!G78/'Cleaned Data'!F78)-'Cleaned Data'!H78)&lt;=0.01,"OK","CHECK")))</f>
        <v>OK</v>
      </c>
    </row>
    <row r="79">
      <c r="L79" s="8" t="str">
        <f>IF('Cleaned Data'!E79&lt;'Cleaned Data'!D79,"ERROR","OK")</f>
        <v>OK</v>
      </c>
      <c r="M79" s="8" t="str">
        <f>IF(OR('Cleaned Data'!F79="",'Cleaned Data'!G79="",'Cleaned Data'!H79=""),"",IF('Cleaned Data'!F79=0,"CHECK",IF(ABS(('Cleaned Data'!G79/'Cleaned Data'!F79)-'Cleaned Data'!H79)&lt;=0.01,"OK","CHECK")))</f>
        <v>OK</v>
      </c>
    </row>
    <row r="80">
      <c r="L80" s="8" t="str">
        <f>IF('Cleaned Data'!E80&lt;'Cleaned Data'!D80,"ERROR","OK")</f>
        <v>OK</v>
      </c>
      <c r="M80" s="8" t="str">
        <f>IF(OR('Cleaned Data'!F80="",'Cleaned Data'!G80="",'Cleaned Data'!H80=""),"",IF('Cleaned Data'!F80=0,"CHECK",IF(ABS(('Cleaned Data'!G80/'Cleaned Data'!F80)-'Cleaned Data'!H80)&lt;=0.01,"OK","CHECK")))</f>
        <v>OK</v>
      </c>
    </row>
    <row r="81">
      <c r="L81" s="8" t="str">
        <f>IF('Cleaned Data'!E81&lt;'Cleaned Data'!D81,"ERROR","OK")</f>
        <v>OK</v>
      </c>
      <c r="M81" s="8" t="str">
        <f>IF(OR('Cleaned Data'!F81="",'Cleaned Data'!G81="",'Cleaned Data'!H81=""),"",IF('Cleaned Data'!F81=0,"CHECK",IF(ABS(('Cleaned Data'!G81/'Cleaned Data'!F81)-'Cleaned Data'!H81)&lt;=0.01,"OK","CHECK")))</f>
        <v>OK</v>
      </c>
    </row>
    <row r="82">
      <c r="L82" s="8" t="str">
        <f>IF('Cleaned Data'!E82&lt;'Cleaned Data'!D82,"ERROR","OK")</f>
        <v>OK</v>
      </c>
      <c r="M82" s="8" t="str">
        <f>IF(OR('Cleaned Data'!F82="",'Cleaned Data'!G82="",'Cleaned Data'!H82=""),"",IF('Cleaned Data'!F82=0,"CHECK",IF(ABS(('Cleaned Data'!G82/'Cleaned Data'!F82)-'Cleaned Data'!H82)&lt;=0.01,"OK","CHECK")))</f>
        <v>OK</v>
      </c>
    </row>
    <row r="83">
      <c r="L83" s="8" t="str">
        <f>IF('Cleaned Data'!E83&lt;'Cleaned Data'!D83,"ERROR","OK")</f>
        <v>OK</v>
      </c>
      <c r="M83" s="8" t="str">
        <f>IF(OR('Cleaned Data'!F83="",'Cleaned Data'!G83="",'Cleaned Data'!H83=""),"",IF('Cleaned Data'!F83=0,"CHECK",IF(ABS(('Cleaned Data'!G83/'Cleaned Data'!F83)-'Cleaned Data'!H83)&lt;=0.01,"OK","CHECK")))</f>
        <v>OK</v>
      </c>
    </row>
    <row r="84">
      <c r="L84" s="8" t="str">
        <f>IF('Cleaned Data'!E84&lt;'Cleaned Data'!D84,"ERROR","OK")</f>
        <v>OK</v>
      </c>
      <c r="M84" s="8" t="str">
        <f>IF(OR('Cleaned Data'!F84="",'Cleaned Data'!G84="",'Cleaned Data'!H84=""),"",IF('Cleaned Data'!F84=0,"CHECK",IF(ABS(('Cleaned Data'!G84/'Cleaned Data'!F84)-'Cleaned Data'!H84)&lt;=0.01,"OK","CHECK")))</f>
        <v>OK</v>
      </c>
    </row>
    <row r="85">
      <c r="L85" s="8" t="str">
        <f>IF('Cleaned Data'!E85&lt;'Cleaned Data'!D85,"ERROR","OK")</f>
        <v>OK</v>
      </c>
      <c r="M85" s="8" t="str">
        <f>IF(OR('Cleaned Data'!F85="",'Cleaned Data'!G85="",'Cleaned Data'!H85=""),"",IF('Cleaned Data'!F85=0,"CHECK",IF(ABS(('Cleaned Data'!G85/'Cleaned Data'!F85)-'Cleaned Data'!H85)&lt;=0.01,"OK","CHECK")))</f>
        <v>OK</v>
      </c>
    </row>
    <row r="86">
      <c r="L86" s="8" t="str">
        <f>IF('Cleaned Data'!E86&lt;'Cleaned Data'!D86,"ERROR","OK")</f>
        <v>OK</v>
      </c>
      <c r="M86" s="8" t="str">
        <f>IF(OR('Cleaned Data'!F86="",'Cleaned Data'!G86="",'Cleaned Data'!H86=""),"",IF('Cleaned Data'!F86=0,"CHECK",IF(ABS(('Cleaned Data'!G86/'Cleaned Data'!F86)-'Cleaned Data'!H86)&lt;=0.01,"OK","CHECK")))</f>
        <v>OK</v>
      </c>
    </row>
    <row r="87">
      <c r="L87" s="8" t="str">
        <f>IF('Cleaned Data'!E87&lt;'Cleaned Data'!D87,"ERROR","OK")</f>
        <v>OK</v>
      </c>
      <c r="M87" s="8" t="str">
        <f>IF(OR('Cleaned Data'!F87="",'Cleaned Data'!G87="",'Cleaned Data'!H87=""),"",IF('Cleaned Data'!F87=0,"CHECK",IF(ABS(('Cleaned Data'!G87/'Cleaned Data'!F87)-'Cleaned Data'!H87)&lt;=0.01,"OK","CHECK")))</f>
        <v>OK</v>
      </c>
    </row>
    <row r="88">
      <c r="L88" s="8" t="str">
        <f>IF('Cleaned Data'!E88&lt;'Cleaned Data'!D88,"ERROR","OK")</f>
        <v>OK</v>
      </c>
      <c r="M88" s="8" t="str">
        <f>IF(OR('Cleaned Data'!F88="",'Cleaned Data'!G88="",'Cleaned Data'!H88=""),"",IF('Cleaned Data'!F88=0,"CHECK",IF(ABS(('Cleaned Data'!G88/'Cleaned Data'!F88)-'Cleaned Data'!H88)&lt;=0.01,"OK","CHECK")))</f>
        <v>OK</v>
      </c>
    </row>
    <row r="89">
      <c r="L89" s="8" t="str">
        <f>IF('Cleaned Data'!E89&lt;'Cleaned Data'!D89,"ERROR","OK")</f>
        <v>OK</v>
      </c>
      <c r="M89" s="8" t="str">
        <f>IF(OR('Cleaned Data'!F89="",'Cleaned Data'!G89="",'Cleaned Data'!H89=""),"",IF('Cleaned Data'!F89=0,"CHECK",IF(ABS(('Cleaned Data'!G89/'Cleaned Data'!F89)-'Cleaned Data'!H89)&lt;=0.01,"OK","CHECK")))</f>
        <v>OK</v>
      </c>
    </row>
    <row r="90">
      <c r="L90" s="8" t="str">
        <f>IF('Cleaned Data'!E90&lt;'Cleaned Data'!D90,"ERROR","OK")</f>
        <v>OK</v>
      </c>
      <c r="M90" s="8" t="str">
        <f>IF(OR('Cleaned Data'!F90="",'Cleaned Data'!G90="",'Cleaned Data'!H90=""),"",IF('Cleaned Data'!F90=0,"CHECK",IF(ABS(('Cleaned Data'!G90/'Cleaned Data'!F90)-'Cleaned Data'!H90)&lt;=0.01,"OK","CHECK")))</f>
        <v>OK</v>
      </c>
    </row>
    <row r="91">
      <c r="L91" s="8" t="str">
        <f>IF('Cleaned Data'!E91&lt;'Cleaned Data'!D91,"ERROR","OK")</f>
        <v>OK</v>
      </c>
      <c r="M91" s="8" t="str">
        <f>IF(OR('Cleaned Data'!F91="",'Cleaned Data'!G91="",'Cleaned Data'!H91=""),"",IF('Cleaned Data'!F91=0,"CHECK",IF(ABS(('Cleaned Data'!G91/'Cleaned Data'!F91)-'Cleaned Data'!H91)&lt;=0.01,"OK","CHECK")))</f>
        <v>OK</v>
      </c>
    </row>
    <row r="92">
      <c r="L92" s="8" t="str">
        <f>IF('Cleaned Data'!E92&lt;'Cleaned Data'!D92,"ERROR","OK")</f>
        <v>OK</v>
      </c>
      <c r="M92" s="8" t="str">
        <f>IF(OR('Cleaned Data'!F92="",'Cleaned Data'!G92="",'Cleaned Data'!H92=""),"",IF('Cleaned Data'!F92=0,"CHECK",IF(ABS(('Cleaned Data'!G92/'Cleaned Data'!F92)-'Cleaned Data'!H92)&lt;=0.01,"OK","CHECK")))</f>
        <v>OK</v>
      </c>
    </row>
    <row r="93">
      <c r="L93" s="8" t="str">
        <f>IF('Cleaned Data'!E93&lt;'Cleaned Data'!D93,"ERROR","OK")</f>
        <v>OK</v>
      </c>
      <c r="M93" s="8" t="str">
        <f>IF(OR('Cleaned Data'!F93="",'Cleaned Data'!G93="",'Cleaned Data'!H93=""),"",IF('Cleaned Data'!F93=0,"CHECK",IF(ABS(('Cleaned Data'!G93/'Cleaned Data'!F93)-'Cleaned Data'!H93)&lt;=0.01,"OK","CHECK")))</f>
        <v>OK</v>
      </c>
    </row>
    <row r="94">
      <c r="L94" s="8" t="str">
        <f>IF('Cleaned Data'!E94&lt;'Cleaned Data'!D94,"ERROR","OK")</f>
        <v>OK</v>
      </c>
      <c r="M94" s="8" t="str">
        <f>IF(OR('Cleaned Data'!F94="",'Cleaned Data'!G94="",'Cleaned Data'!H94=""),"",IF('Cleaned Data'!F94=0,"CHECK",IF(ABS(('Cleaned Data'!G94/'Cleaned Data'!F94)-'Cleaned Data'!H94)&lt;=0.01,"OK","CHECK")))</f>
        <v>OK</v>
      </c>
    </row>
    <row r="95">
      <c r="L95" s="8" t="str">
        <f>IF('Cleaned Data'!E95&lt;'Cleaned Data'!D95,"ERROR","OK")</f>
        <v>OK</v>
      </c>
      <c r="M95" s="8" t="str">
        <f>IF(OR('Cleaned Data'!F95="",'Cleaned Data'!G95="",'Cleaned Data'!H95=""),"",IF('Cleaned Data'!F95=0,"CHECK",IF(ABS(('Cleaned Data'!G95/'Cleaned Data'!F95)-'Cleaned Data'!H95)&lt;=0.01,"OK","CHECK")))</f>
        <v>OK</v>
      </c>
    </row>
    <row r="96">
      <c r="L96" s="8" t="str">
        <f>IF('Cleaned Data'!E96&lt;'Cleaned Data'!D96,"ERROR","OK")</f>
        <v>OK</v>
      </c>
      <c r="M96" s="8" t="str">
        <f>IF(OR('Cleaned Data'!F96="",'Cleaned Data'!G96="",'Cleaned Data'!H96=""),"",IF('Cleaned Data'!F96=0,"CHECK",IF(ABS(('Cleaned Data'!G96/'Cleaned Data'!F96)-'Cleaned Data'!H96)&lt;=0.01,"OK","CHECK")))</f>
        <v>OK</v>
      </c>
    </row>
    <row r="97">
      <c r="L97" s="8" t="str">
        <f>IF('Cleaned Data'!E97&lt;'Cleaned Data'!D97,"ERROR","OK")</f>
        <v>OK</v>
      </c>
      <c r="M97" s="8" t="str">
        <f>IF(OR('Cleaned Data'!F97="",'Cleaned Data'!G97="",'Cleaned Data'!H97=""),"",IF('Cleaned Data'!F97=0,"CHECK",IF(ABS(('Cleaned Data'!G97/'Cleaned Data'!F97)-'Cleaned Data'!H97)&lt;=0.01,"OK","CHECK")))</f>
        <v>OK</v>
      </c>
    </row>
    <row r="98">
      <c r="L98" s="8" t="str">
        <f>IF('Cleaned Data'!E98&lt;'Cleaned Data'!D98,"ERROR","OK")</f>
        <v>OK</v>
      </c>
      <c r="M98" s="8" t="str">
        <f>IF(OR('Cleaned Data'!F98="",'Cleaned Data'!G98="",'Cleaned Data'!H98=""),"",IF('Cleaned Data'!F98=0,"CHECK",IF(ABS(('Cleaned Data'!G98/'Cleaned Data'!F98)-'Cleaned Data'!H98)&lt;=0.01,"OK","CHECK")))</f>
        <v>OK</v>
      </c>
    </row>
    <row r="99">
      <c r="L99" s="8" t="str">
        <f>IF('Cleaned Data'!E99&lt;'Cleaned Data'!D99,"ERROR","OK")</f>
        <v>OK</v>
      </c>
      <c r="M99" s="8" t="str">
        <f>IF(OR('Cleaned Data'!F99="",'Cleaned Data'!G99="",'Cleaned Data'!H99=""),"",IF('Cleaned Data'!F99=0,"CHECK",IF(ABS(('Cleaned Data'!G99/'Cleaned Data'!F99)-'Cleaned Data'!H99)&lt;=0.01,"OK","CHECK")))</f>
        <v>OK</v>
      </c>
    </row>
    <row r="100">
      <c r="L100" s="8" t="str">
        <f>IF('Cleaned Data'!E100&lt;'Cleaned Data'!D100,"ERROR","OK")</f>
        <v>OK</v>
      </c>
      <c r="M100" s="8" t="str">
        <f>IF(OR('Cleaned Data'!F100="",'Cleaned Data'!G100="",'Cleaned Data'!H100=""),"",IF('Cleaned Data'!F100=0,"CHECK",IF(ABS(('Cleaned Data'!G100/'Cleaned Data'!F100)-'Cleaned Data'!H100)&lt;=0.01,"OK","CHECK")))</f>
        <v>OK</v>
      </c>
    </row>
    <row r="101">
      <c r="L101" s="8" t="str">
        <f>IF('Cleaned Data'!E101&lt;'Cleaned Data'!D101,"ERROR","OK")</f>
        <v>OK</v>
      </c>
      <c r="M101" s="8" t="str">
        <f>IF(OR('Cleaned Data'!F101="",'Cleaned Data'!G101="",'Cleaned Data'!H101=""),"",IF('Cleaned Data'!F101=0,"CHECK",IF(ABS(('Cleaned Data'!G101/'Cleaned Data'!F101)-'Cleaned Data'!H101)&lt;=0.01,"OK","CHECK")))</f>
        <v>OK</v>
      </c>
    </row>
    <row r="102">
      <c r="L102" s="8" t="str">
        <f>IF('Cleaned Data'!E102&lt;'Cleaned Data'!D102,"ERROR","OK")</f>
        <v>OK</v>
      </c>
      <c r="M102" s="8" t="str">
        <f>IF(OR('Cleaned Data'!F102="",'Cleaned Data'!G102="",'Cleaned Data'!H102=""),"",IF('Cleaned Data'!F102=0,"CHECK",IF(ABS(('Cleaned Data'!G102/'Cleaned Data'!F102)-'Cleaned Data'!H102)&lt;=0.01,"OK","CHECK")))</f>
        <v>OK</v>
      </c>
    </row>
    <row r="103">
      <c r="L103" s="8" t="str">
        <f>IF('Cleaned Data'!E103&lt;'Cleaned Data'!D103,"ERROR","OK")</f>
        <v>OK</v>
      </c>
      <c r="M103" s="8" t="str">
        <f>IF(OR('Cleaned Data'!F103="",'Cleaned Data'!G103="",'Cleaned Data'!H103=""),"",IF('Cleaned Data'!F103=0,"CHECK",IF(ABS(('Cleaned Data'!G103/'Cleaned Data'!F103)-'Cleaned Data'!H103)&lt;=0.01,"OK","CHECK")))</f>
        <v>OK</v>
      </c>
    </row>
    <row r="104">
      <c r="L104" s="8" t="str">
        <f>IF('Cleaned Data'!E104&lt;'Cleaned Data'!D104,"ERROR","OK")</f>
        <v>OK</v>
      </c>
      <c r="M104" s="8" t="str">
        <f>IF(OR('Cleaned Data'!F104="",'Cleaned Data'!G104="",'Cleaned Data'!H104=""),"",IF('Cleaned Data'!F104=0,"CHECK",IF(ABS(('Cleaned Data'!G104/'Cleaned Data'!F104)-'Cleaned Data'!H104)&lt;=0.01,"OK","CHECK")))</f>
        <v>OK</v>
      </c>
    </row>
    <row r="105">
      <c r="L105" s="8" t="str">
        <f>IF('Cleaned Data'!E105&lt;'Cleaned Data'!D105,"ERROR","OK")</f>
        <v>OK</v>
      </c>
      <c r="M105" s="8" t="str">
        <f>IF(OR('Cleaned Data'!F105="",'Cleaned Data'!G105="",'Cleaned Data'!H105=""),"",IF('Cleaned Data'!F105=0,"CHECK",IF(ABS(('Cleaned Data'!G105/'Cleaned Data'!F105)-'Cleaned Data'!H105)&lt;=0.01,"OK","CHECK")))</f>
        <v>OK</v>
      </c>
    </row>
    <row r="106">
      <c r="L106" s="8" t="str">
        <f>IF('Cleaned Data'!E106&lt;'Cleaned Data'!D106,"ERROR","OK")</f>
        <v>OK</v>
      </c>
      <c r="M106" s="8" t="str">
        <f>IF(OR('Cleaned Data'!F106="",'Cleaned Data'!G106="",'Cleaned Data'!H106=""),"",IF('Cleaned Data'!F106=0,"CHECK",IF(ABS(('Cleaned Data'!G106/'Cleaned Data'!F106)-'Cleaned Data'!H106)&lt;=0.01,"OK","CHECK")))</f>
        <v>OK</v>
      </c>
    </row>
    <row r="107">
      <c r="L107" s="8" t="str">
        <f>IF('Cleaned Data'!E107&lt;'Cleaned Data'!D107,"ERROR","OK")</f>
        <v>OK</v>
      </c>
      <c r="M107" s="8" t="str">
        <f>IF(OR('Cleaned Data'!F107="",'Cleaned Data'!G107="",'Cleaned Data'!H107=""),"",IF('Cleaned Data'!F107=0,"CHECK",IF(ABS(('Cleaned Data'!G107/'Cleaned Data'!F107)-'Cleaned Data'!H107)&lt;=0.01,"OK","CHECK")))</f>
        <v>OK</v>
      </c>
    </row>
    <row r="108">
      <c r="L108" s="8" t="str">
        <f>IF('Cleaned Data'!E108&lt;'Cleaned Data'!D108,"ERROR","OK")</f>
        <v>OK</v>
      </c>
      <c r="M108" s="8" t="str">
        <f>IF(OR('Cleaned Data'!F108="",'Cleaned Data'!G108="",'Cleaned Data'!H108=""),"",IF('Cleaned Data'!F108=0,"CHECK",IF(ABS(('Cleaned Data'!G108/'Cleaned Data'!F108)-'Cleaned Data'!H108)&lt;=0.01,"OK","CHECK")))</f>
        <v>OK</v>
      </c>
    </row>
    <row r="109">
      <c r="L109" s="8" t="str">
        <f>IF('Cleaned Data'!E109&lt;'Cleaned Data'!D109,"ERROR","OK")</f>
        <v>OK</v>
      </c>
      <c r="M109" s="8" t="str">
        <f>IF(OR('Cleaned Data'!F109="",'Cleaned Data'!G109="",'Cleaned Data'!H109=""),"",IF('Cleaned Data'!F109=0,"CHECK",IF(ABS(('Cleaned Data'!G109/'Cleaned Data'!F109)-'Cleaned Data'!H109)&lt;=0.01,"OK","CHECK")))</f>
        <v>OK</v>
      </c>
    </row>
    <row r="110">
      <c r="L110" s="8" t="str">
        <f>IF('Cleaned Data'!E110&lt;'Cleaned Data'!D110,"ERROR","OK")</f>
        <v>OK</v>
      </c>
      <c r="M110" s="8" t="str">
        <f>IF(OR('Cleaned Data'!F110="",'Cleaned Data'!G110="",'Cleaned Data'!H110=""),"",IF('Cleaned Data'!F110=0,"CHECK",IF(ABS(('Cleaned Data'!G110/'Cleaned Data'!F110)-'Cleaned Data'!H110)&lt;=0.01,"OK","CHECK")))</f>
        <v>OK</v>
      </c>
    </row>
    <row r="111">
      <c r="L111" s="8" t="str">
        <f>IF('Cleaned Data'!E111&lt;'Cleaned Data'!D111,"ERROR","OK")</f>
        <v>OK</v>
      </c>
      <c r="M111" s="8" t="str">
        <f>IF(OR('Cleaned Data'!F111="",'Cleaned Data'!G111="",'Cleaned Data'!H111=""),"",IF('Cleaned Data'!F111=0,"CHECK",IF(ABS(('Cleaned Data'!G111/'Cleaned Data'!F111)-'Cleaned Data'!H111)&lt;=0.01,"OK","CHECK")))</f>
        <v>OK</v>
      </c>
    </row>
    <row r="112">
      <c r="L112" s="8" t="str">
        <f>IF('Cleaned Data'!E112&lt;'Cleaned Data'!D112,"ERROR","OK")</f>
        <v>OK</v>
      </c>
      <c r="M112" s="8" t="str">
        <f>IF(OR('Cleaned Data'!F112="",'Cleaned Data'!G112="",'Cleaned Data'!H112=""),"",IF('Cleaned Data'!F112=0,"CHECK",IF(ABS(('Cleaned Data'!G112/'Cleaned Data'!F112)-'Cleaned Data'!H112)&lt;=0.01,"OK","CHECK")))</f>
        <v>OK</v>
      </c>
    </row>
    <row r="113">
      <c r="L113" s="8" t="str">
        <f>IF('Cleaned Data'!E113&lt;'Cleaned Data'!D113,"ERROR","OK")</f>
        <v>OK</v>
      </c>
      <c r="M113" s="8" t="str">
        <f>IF(OR('Cleaned Data'!F113="",'Cleaned Data'!G113="",'Cleaned Data'!H113=""),"",IF('Cleaned Data'!F113=0,"CHECK",IF(ABS(('Cleaned Data'!G113/'Cleaned Data'!F113)-'Cleaned Data'!H113)&lt;=0.01,"OK","CHECK")))</f>
        <v>OK</v>
      </c>
    </row>
    <row r="114">
      <c r="L114" s="8" t="str">
        <f>IF('Cleaned Data'!E114&lt;'Cleaned Data'!D114,"ERROR","OK")</f>
        <v>OK</v>
      </c>
      <c r="M114" s="8" t="str">
        <f>IF(OR('Cleaned Data'!F114="",'Cleaned Data'!G114="",'Cleaned Data'!H114=""),"",IF('Cleaned Data'!F114=0,"CHECK",IF(ABS(('Cleaned Data'!G114/'Cleaned Data'!F114)-'Cleaned Data'!H114)&lt;=0.01,"OK","CHECK")))</f>
        <v>OK</v>
      </c>
    </row>
    <row r="115">
      <c r="L115" s="8" t="str">
        <f>IF('Cleaned Data'!E115&lt;'Cleaned Data'!D115,"ERROR","OK")</f>
        <v>OK</v>
      </c>
      <c r="M115" s="8" t="str">
        <f>IF(OR('Cleaned Data'!F115="",'Cleaned Data'!G115="",'Cleaned Data'!H115=""),"",IF('Cleaned Data'!F115=0,"CHECK",IF(ABS(('Cleaned Data'!G115/'Cleaned Data'!F115)-'Cleaned Data'!H115)&lt;=0.01,"OK","CHECK")))</f>
        <v>OK</v>
      </c>
    </row>
    <row r="116">
      <c r="L116" s="8" t="str">
        <f>IF('Cleaned Data'!E116&lt;'Cleaned Data'!D116,"ERROR","OK")</f>
        <v>OK</v>
      </c>
      <c r="M116" s="8" t="str">
        <f>IF(OR('Cleaned Data'!F116="",'Cleaned Data'!G116="",'Cleaned Data'!H116=""),"",IF('Cleaned Data'!F116=0,"CHECK",IF(ABS(('Cleaned Data'!G116/'Cleaned Data'!F116)-'Cleaned Data'!H116)&lt;=0.01,"OK","CHECK")))</f>
        <v>OK</v>
      </c>
    </row>
    <row r="117">
      <c r="L117" s="8" t="str">
        <f>IF('Cleaned Data'!E117&lt;'Cleaned Data'!D117,"ERROR","OK")</f>
        <v>OK</v>
      </c>
      <c r="M117" s="8" t="str">
        <f>IF(OR('Cleaned Data'!F117="",'Cleaned Data'!G117="",'Cleaned Data'!H117=""),"",IF('Cleaned Data'!F117=0,"CHECK",IF(ABS(('Cleaned Data'!G117/'Cleaned Data'!F117)-'Cleaned Data'!H117)&lt;=0.01,"OK","CHECK")))</f>
        <v>OK</v>
      </c>
    </row>
    <row r="118">
      <c r="L118" s="8" t="str">
        <f>IF('Cleaned Data'!E118&lt;'Cleaned Data'!D118,"ERROR","OK")</f>
        <v>OK</v>
      </c>
      <c r="M118" s="8" t="str">
        <f>IF(OR('Cleaned Data'!F118="",'Cleaned Data'!G118="",'Cleaned Data'!H118=""),"",IF('Cleaned Data'!F118=0,"CHECK",IF(ABS(('Cleaned Data'!G118/'Cleaned Data'!F118)-'Cleaned Data'!H118)&lt;=0.01,"OK","CHECK")))</f>
        <v>OK</v>
      </c>
    </row>
    <row r="119">
      <c r="L119" s="8" t="str">
        <f>IF('Cleaned Data'!E119&lt;'Cleaned Data'!D119,"ERROR","OK")</f>
        <v>OK</v>
      </c>
      <c r="M119" s="8" t="str">
        <f>IF(OR('Cleaned Data'!F119="",'Cleaned Data'!G119="",'Cleaned Data'!H119=""),"",IF('Cleaned Data'!F119=0,"CHECK",IF(ABS(('Cleaned Data'!G119/'Cleaned Data'!F119)-'Cleaned Data'!H119)&lt;=0.01,"OK","CHECK")))</f>
        <v>OK</v>
      </c>
    </row>
    <row r="120">
      <c r="L120" s="8" t="str">
        <f>IF('Cleaned Data'!E120&lt;'Cleaned Data'!D120,"ERROR","OK")</f>
        <v>OK</v>
      </c>
      <c r="M120" s="8" t="str">
        <f>IF(OR('Cleaned Data'!F120="",'Cleaned Data'!G120="",'Cleaned Data'!H120=""),"",IF('Cleaned Data'!F120=0,"CHECK",IF(ABS(('Cleaned Data'!G120/'Cleaned Data'!F120)-'Cleaned Data'!H120)&lt;=0.01,"OK","CHECK")))</f>
        <v>OK</v>
      </c>
    </row>
    <row r="121">
      <c r="L121" s="8" t="str">
        <f>IF('Cleaned Data'!E121&lt;'Cleaned Data'!D121,"ERROR","OK")</f>
        <v>OK</v>
      </c>
      <c r="M121" s="8" t="str">
        <f>IF(OR('Cleaned Data'!F121="",'Cleaned Data'!G121="",'Cleaned Data'!H121=""),"",IF('Cleaned Data'!F121=0,"CHECK",IF(ABS(('Cleaned Data'!G121/'Cleaned Data'!F121)-'Cleaned Data'!H121)&lt;=0.01,"OK","CHECK")))</f>
        <v>OK</v>
      </c>
    </row>
    <row r="122">
      <c r="L122" s="8" t="str">
        <f>IF('Cleaned Data'!E122&lt;'Cleaned Data'!D122,"ERROR","OK")</f>
        <v>OK</v>
      </c>
      <c r="M122" s="8" t="str">
        <f>IF(OR('Cleaned Data'!F122="",'Cleaned Data'!G122="",'Cleaned Data'!H122=""),"",IF('Cleaned Data'!F122=0,"CHECK",IF(ABS(('Cleaned Data'!G122/'Cleaned Data'!F122)-'Cleaned Data'!H122)&lt;=0.01,"OK","CHECK")))</f>
        <v>OK</v>
      </c>
    </row>
    <row r="123">
      <c r="L123" s="8" t="str">
        <f>IF('Cleaned Data'!E123&lt;'Cleaned Data'!D123,"ERROR","OK")</f>
        <v>OK</v>
      </c>
      <c r="M123" s="8" t="str">
        <f>IF(OR('Cleaned Data'!F123="",'Cleaned Data'!G123="",'Cleaned Data'!H123=""),"",IF('Cleaned Data'!F123=0,"CHECK",IF(ABS(('Cleaned Data'!G123/'Cleaned Data'!F123)-'Cleaned Data'!H123)&lt;=0.01,"OK","CHECK")))</f>
        <v>OK</v>
      </c>
    </row>
    <row r="124">
      <c r="L124" s="8" t="str">
        <f>IF('Cleaned Data'!E124&lt;'Cleaned Data'!D124,"ERROR","OK")</f>
        <v>OK</v>
      </c>
      <c r="M124" s="8" t="str">
        <f>IF(OR('Cleaned Data'!F124="",'Cleaned Data'!G124="",'Cleaned Data'!H124=""),"",IF('Cleaned Data'!F124=0,"CHECK",IF(ABS(('Cleaned Data'!G124/'Cleaned Data'!F124)-'Cleaned Data'!H124)&lt;=0.01,"OK","CHECK")))</f>
        <v>OK</v>
      </c>
    </row>
    <row r="125">
      <c r="L125" s="8" t="str">
        <f>IF('Cleaned Data'!E125&lt;'Cleaned Data'!D125,"ERROR","OK")</f>
        <v>OK</v>
      </c>
      <c r="M125" s="8" t="str">
        <f>IF(OR('Cleaned Data'!F125="",'Cleaned Data'!G125="",'Cleaned Data'!H125=""),"",IF('Cleaned Data'!F125=0,"CHECK",IF(ABS(('Cleaned Data'!G125/'Cleaned Data'!F125)-'Cleaned Data'!H125)&lt;=0.01,"OK","CHECK")))</f>
        <v>OK</v>
      </c>
    </row>
    <row r="126">
      <c r="L126" s="8" t="str">
        <f>IF('Cleaned Data'!E126&lt;'Cleaned Data'!D126,"ERROR","OK")</f>
        <v>OK</v>
      </c>
      <c r="M126" s="8" t="str">
        <f>IF(OR('Cleaned Data'!F126="",'Cleaned Data'!G126="",'Cleaned Data'!H126=""),"",IF('Cleaned Data'!F126=0,"CHECK",IF(ABS(('Cleaned Data'!G126/'Cleaned Data'!F126)-'Cleaned Data'!H126)&lt;=0.01,"OK","CHECK")))</f>
        <v>OK</v>
      </c>
    </row>
    <row r="127">
      <c r="L127" s="8" t="str">
        <f>IF('Cleaned Data'!E127&lt;'Cleaned Data'!D127,"ERROR","OK")</f>
        <v>OK</v>
      </c>
      <c r="M127" s="8" t="str">
        <f>IF(OR('Cleaned Data'!F127="",'Cleaned Data'!G127="",'Cleaned Data'!H127=""),"",IF('Cleaned Data'!F127=0,"CHECK",IF(ABS(('Cleaned Data'!G127/'Cleaned Data'!F127)-'Cleaned Data'!H127)&lt;=0.01,"OK","CHECK")))</f>
        <v>OK</v>
      </c>
    </row>
    <row r="128">
      <c r="L128" s="8" t="str">
        <f>IF('Cleaned Data'!E128&lt;'Cleaned Data'!D128,"ERROR","OK")</f>
        <v>OK</v>
      </c>
      <c r="M128" s="8" t="str">
        <f>IF(OR('Cleaned Data'!F128="",'Cleaned Data'!G128="",'Cleaned Data'!H128=""),"",IF('Cleaned Data'!F128=0,"CHECK",IF(ABS(('Cleaned Data'!G128/'Cleaned Data'!F128)-'Cleaned Data'!H128)&lt;=0.01,"OK","CHECK")))</f>
        <v>OK</v>
      </c>
    </row>
    <row r="129">
      <c r="L129" s="8" t="str">
        <f>IF('Cleaned Data'!E129&lt;'Cleaned Data'!D129,"ERROR","OK")</f>
        <v>OK</v>
      </c>
      <c r="M129" s="8" t="str">
        <f>IF(OR('Cleaned Data'!F129="",'Cleaned Data'!G129="",'Cleaned Data'!H129=""),"",IF('Cleaned Data'!F129=0,"CHECK",IF(ABS(('Cleaned Data'!G129/'Cleaned Data'!F129)-'Cleaned Data'!H129)&lt;=0.01,"OK","CHECK")))</f>
        <v>OK</v>
      </c>
    </row>
    <row r="130">
      <c r="L130" s="8" t="str">
        <f>IF('Cleaned Data'!E130&lt;'Cleaned Data'!D130,"ERROR","OK")</f>
        <v>OK</v>
      </c>
      <c r="M130" s="8" t="str">
        <f>IF(OR('Cleaned Data'!F130="",'Cleaned Data'!G130="",'Cleaned Data'!H130=""),"",IF('Cleaned Data'!F130=0,"CHECK",IF(ABS(('Cleaned Data'!G130/'Cleaned Data'!F130)-'Cleaned Data'!H130)&lt;=0.01,"OK","CHECK")))</f>
        <v>OK</v>
      </c>
    </row>
    <row r="131">
      <c r="L131" s="8" t="str">
        <f>IF('Cleaned Data'!E131&lt;'Cleaned Data'!D131,"ERROR","OK")</f>
        <v>OK</v>
      </c>
      <c r="M131" s="8" t="str">
        <f>IF(OR('Cleaned Data'!F131="",'Cleaned Data'!G131="",'Cleaned Data'!H131=""),"",IF('Cleaned Data'!F131=0,"CHECK",IF(ABS(('Cleaned Data'!G131/'Cleaned Data'!F131)-'Cleaned Data'!H131)&lt;=0.01,"OK","CHECK")))</f>
        <v>OK</v>
      </c>
    </row>
    <row r="132">
      <c r="L132" s="8" t="str">
        <f>IF('Cleaned Data'!E132&lt;'Cleaned Data'!D132,"ERROR","OK")</f>
        <v>OK</v>
      </c>
      <c r="M132" s="8" t="str">
        <f>IF(OR('Cleaned Data'!F132="",'Cleaned Data'!G132="",'Cleaned Data'!H132=""),"",IF('Cleaned Data'!F132=0,"CHECK",IF(ABS(('Cleaned Data'!G132/'Cleaned Data'!F132)-'Cleaned Data'!H132)&lt;=0.01,"OK","CHECK")))</f>
        <v>OK</v>
      </c>
    </row>
    <row r="133">
      <c r="L133" s="8" t="str">
        <f>IF('Cleaned Data'!E133&lt;'Cleaned Data'!D133,"ERROR","OK")</f>
        <v>OK</v>
      </c>
      <c r="M133" s="8" t="str">
        <f>IF(OR('Cleaned Data'!F133="",'Cleaned Data'!G133="",'Cleaned Data'!H133=""),"",IF('Cleaned Data'!F133=0,"CHECK",IF(ABS(('Cleaned Data'!G133/'Cleaned Data'!F133)-'Cleaned Data'!H133)&lt;=0.01,"OK","CHECK")))</f>
        <v>OK</v>
      </c>
    </row>
    <row r="134">
      <c r="L134" s="8" t="str">
        <f>IF('Cleaned Data'!E134&lt;'Cleaned Data'!D134,"ERROR","OK")</f>
        <v>OK</v>
      </c>
      <c r="M134" s="8" t="str">
        <f>IF(OR('Cleaned Data'!F134="",'Cleaned Data'!G134="",'Cleaned Data'!H134=""),"",IF('Cleaned Data'!F134=0,"CHECK",IF(ABS(('Cleaned Data'!G134/'Cleaned Data'!F134)-'Cleaned Data'!H134)&lt;=0.01,"OK","CHECK")))</f>
        <v>OK</v>
      </c>
    </row>
    <row r="135">
      <c r="L135" s="8" t="str">
        <f>IF('Cleaned Data'!E135&lt;'Cleaned Data'!D135,"ERROR","OK")</f>
        <v>OK</v>
      </c>
      <c r="M135" s="8" t="str">
        <f>IF(OR('Cleaned Data'!F135="",'Cleaned Data'!G135="",'Cleaned Data'!H135=""),"",IF('Cleaned Data'!F135=0,"CHECK",IF(ABS(('Cleaned Data'!G135/'Cleaned Data'!F135)-'Cleaned Data'!H135)&lt;=0.01,"OK","CHECK")))</f>
        <v>OK</v>
      </c>
    </row>
    <row r="136">
      <c r="L136" s="8" t="str">
        <f>IF('Cleaned Data'!E136&lt;'Cleaned Data'!D136,"ERROR","OK")</f>
        <v>OK</v>
      </c>
      <c r="M136" s="8" t="str">
        <f>IF(OR('Cleaned Data'!F136="",'Cleaned Data'!G136="",'Cleaned Data'!H136=""),"",IF('Cleaned Data'!F136=0,"CHECK",IF(ABS(('Cleaned Data'!G136/'Cleaned Data'!F136)-'Cleaned Data'!H136)&lt;=0.01,"OK","CHECK")))</f>
        <v>OK</v>
      </c>
    </row>
    <row r="137">
      <c r="L137" s="8" t="str">
        <f>IF('Cleaned Data'!E137&lt;'Cleaned Data'!D137,"ERROR","OK")</f>
        <v>OK</v>
      </c>
      <c r="M137" s="8" t="str">
        <f>IF(OR('Cleaned Data'!F137="",'Cleaned Data'!G137="",'Cleaned Data'!H137=""),"",IF('Cleaned Data'!F137=0,"CHECK",IF(ABS(('Cleaned Data'!G137/'Cleaned Data'!F137)-'Cleaned Data'!H137)&lt;=0.01,"OK","CHECK")))</f>
        <v>OK</v>
      </c>
    </row>
    <row r="138">
      <c r="L138" s="8" t="str">
        <f>IF('Cleaned Data'!E138&lt;'Cleaned Data'!D138,"ERROR","OK")</f>
        <v>OK</v>
      </c>
      <c r="M138" s="8" t="str">
        <f>IF(OR('Cleaned Data'!F138="",'Cleaned Data'!G138="",'Cleaned Data'!H138=""),"",IF('Cleaned Data'!F138=0,"CHECK",IF(ABS(('Cleaned Data'!G138/'Cleaned Data'!F138)-'Cleaned Data'!H138)&lt;=0.01,"OK","CHECK")))</f>
        <v>OK</v>
      </c>
    </row>
    <row r="139">
      <c r="L139" s="8" t="str">
        <f>IF('Cleaned Data'!E139&lt;'Cleaned Data'!D139,"ERROR","OK")</f>
        <v>OK</v>
      </c>
      <c r="M139" s="8" t="str">
        <f>IF(OR('Cleaned Data'!F139="",'Cleaned Data'!G139="",'Cleaned Data'!H139=""),"",IF('Cleaned Data'!F139=0,"CHECK",IF(ABS(('Cleaned Data'!G139/'Cleaned Data'!F139)-'Cleaned Data'!H139)&lt;=0.01,"OK","CHECK")))</f>
        <v>OK</v>
      </c>
    </row>
    <row r="140">
      <c r="L140" s="8" t="str">
        <f>IF('Cleaned Data'!E140&lt;'Cleaned Data'!D140,"ERROR","OK")</f>
        <v>OK</v>
      </c>
      <c r="M140" s="8" t="str">
        <f>IF(OR('Cleaned Data'!F140="",'Cleaned Data'!G140="",'Cleaned Data'!H140=""),"",IF('Cleaned Data'!F140=0,"CHECK",IF(ABS(('Cleaned Data'!G140/'Cleaned Data'!F140)-'Cleaned Data'!H140)&lt;=0.01,"OK","CHECK")))</f>
        <v>OK</v>
      </c>
    </row>
    <row r="141">
      <c r="L141" s="8" t="str">
        <f>IF('Cleaned Data'!E141&lt;'Cleaned Data'!D141,"ERROR","OK")</f>
        <v>OK</v>
      </c>
      <c r="M141" s="8" t="str">
        <f>IF(OR('Cleaned Data'!F141="",'Cleaned Data'!G141="",'Cleaned Data'!H141=""),"",IF('Cleaned Data'!F141=0,"CHECK",IF(ABS(('Cleaned Data'!G141/'Cleaned Data'!F141)-'Cleaned Data'!H141)&lt;=0.01,"OK","CHECK")))</f>
        <v>OK</v>
      </c>
    </row>
    <row r="142">
      <c r="L142" s="8" t="str">
        <f>IF('Cleaned Data'!E142&lt;'Cleaned Data'!D142,"ERROR","OK")</f>
        <v>OK</v>
      </c>
      <c r="M142" s="8" t="str">
        <f>IF(OR('Cleaned Data'!F142="",'Cleaned Data'!G142="",'Cleaned Data'!H142=""),"",IF('Cleaned Data'!F142=0,"CHECK",IF(ABS(('Cleaned Data'!G142/'Cleaned Data'!F142)-'Cleaned Data'!H142)&lt;=0.01,"OK","CHECK")))</f>
        <v>OK</v>
      </c>
    </row>
    <row r="143">
      <c r="L143" s="8" t="str">
        <f>IF('Cleaned Data'!E143&lt;'Cleaned Data'!D143,"ERROR","OK")</f>
        <v>OK</v>
      </c>
      <c r="M143" s="8" t="str">
        <f>IF(OR('Cleaned Data'!F143="",'Cleaned Data'!G143="",'Cleaned Data'!H143=""),"",IF('Cleaned Data'!F143=0,"CHECK",IF(ABS(('Cleaned Data'!G143/'Cleaned Data'!F143)-'Cleaned Data'!H143)&lt;=0.01,"OK","CHECK")))</f>
        <v>OK</v>
      </c>
    </row>
    <row r="144">
      <c r="L144" s="8" t="str">
        <f>IF('Cleaned Data'!E144&lt;'Cleaned Data'!D144,"ERROR","OK")</f>
        <v>OK</v>
      </c>
      <c r="M144" s="8" t="str">
        <f>IF(OR('Cleaned Data'!F144="",'Cleaned Data'!G144="",'Cleaned Data'!H144=""),"",IF('Cleaned Data'!F144=0,"CHECK",IF(ABS(('Cleaned Data'!G144/'Cleaned Data'!F144)-'Cleaned Data'!H144)&lt;=0.01,"OK","CHECK")))</f>
        <v>OK</v>
      </c>
    </row>
    <row r="145">
      <c r="L145" s="8" t="str">
        <f>IF('Cleaned Data'!E145&lt;'Cleaned Data'!D145,"ERROR","OK")</f>
        <v>OK</v>
      </c>
      <c r="M145" s="8" t="str">
        <f>IF(OR('Cleaned Data'!F145="",'Cleaned Data'!G145="",'Cleaned Data'!H145=""),"",IF('Cleaned Data'!F145=0,"CHECK",IF(ABS(('Cleaned Data'!G145/'Cleaned Data'!F145)-'Cleaned Data'!H145)&lt;=0.01,"OK","CHECK")))</f>
        <v>OK</v>
      </c>
    </row>
    <row r="146">
      <c r="L146" s="8" t="str">
        <f>IF('Cleaned Data'!E146&lt;'Cleaned Data'!D146,"ERROR","OK")</f>
        <v>OK</v>
      </c>
      <c r="M146" s="8" t="str">
        <f>IF(OR('Cleaned Data'!F146="",'Cleaned Data'!G146="",'Cleaned Data'!H146=""),"",IF('Cleaned Data'!F146=0,"CHECK",IF(ABS(('Cleaned Data'!G146/'Cleaned Data'!F146)-'Cleaned Data'!H146)&lt;=0.01,"OK","CHECK")))</f>
        <v>OK</v>
      </c>
    </row>
    <row r="147">
      <c r="L147" s="8" t="str">
        <f>IF('Cleaned Data'!E147&lt;'Cleaned Data'!D147,"ERROR","OK")</f>
        <v>OK</v>
      </c>
      <c r="M147" s="8" t="str">
        <f>IF(OR('Cleaned Data'!F147="",'Cleaned Data'!G147="",'Cleaned Data'!H147=""),"",IF('Cleaned Data'!F147=0,"CHECK",IF(ABS(('Cleaned Data'!G147/'Cleaned Data'!F147)-'Cleaned Data'!H147)&lt;=0.01,"OK","CHECK")))</f>
        <v>OK</v>
      </c>
    </row>
    <row r="148">
      <c r="L148" s="8" t="str">
        <f>IF('Cleaned Data'!E148&lt;'Cleaned Data'!D148,"ERROR","OK")</f>
        <v>OK</v>
      </c>
      <c r="M148" s="8" t="str">
        <f>IF(OR('Cleaned Data'!F148="",'Cleaned Data'!G148="",'Cleaned Data'!H148=""),"",IF('Cleaned Data'!F148=0,"CHECK",IF(ABS(('Cleaned Data'!G148/'Cleaned Data'!F148)-'Cleaned Data'!H148)&lt;=0.01,"OK","CHECK")))</f>
        <v>OK</v>
      </c>
    </row>
    <row r="149">
      <c r="L149" s="8" t="str">
        <f>IF('Cleaned Data'!E149&lt;'Cleaned Data'!D149,"ERROR","OK")</f>
        <v>OK</v>
      </c>
      <c r="M149" s="8" t="str">
        <f>IF(OR('Cleaned Data'!F149="",'Cleaned Data'!G149="",'Cleaned Data'!H149=""),"",IF('Cleaned Data'!F149=0,"CHECK",IF(ABS(('Cleaned Data'!G149/'Cleaned Data'!F149)-'Cleaned Data'!H149)&lt;=0.01,"OK","CHECK")))</f>
        <v>OK</v>
      </c>
    </row>
    <row r="150">
      <c r="L150" s="8" t="str">
        <f>IF('Cleaned Data'!E150&lt;'Cleaned Data'!D150,"ERROR","OK")</f>
        <v>OK</v>
      </c>
      <c r="M150" s="8" t="str">
        <f>IF(OR('Cleaned Data'!F150="",'Cleaned Data'!G150="",'Cleaned Data'!H150=""),"",IF('Cleaned Data'!F150=0,"CHECK",IF(ABS(('Cleaned Data'!G150/'Cleaned Data'!F150)-'Cleaned Data'!H150)&lt;=0.01,"OK","CHECK")))</f>
        <v>OK</v>
      </c>
    </row>
    <row r="151">
      <c r="L151" s="8" t="str">
        <f>IF('Cleaned Data'!E151&lt;'Cleaned Data'!D151,"ERROR","OK")</f>
        <v>OK</v>
      </c>
      <c r="M151" s="8" t="str">
        <f>IF(OR('Cleaned Data'!F151="",'Cleaned Data'!G151="",'Cleaned Data'!H151=""),"",IF('Cleaned Data'!F151=0,"CHECK",IF(ABS(('Cleaned Data'!G151/'Cleaned Data'!F151)-'Cleaned Data'!H151)&lt;=0.01,"OK","CHECK")))</f>
        <v>OK</v>
      </c>
    </row>
    <row r="152">
      <c r="L152" s="8" t="str">
        <f>IF('Cleaned Data'!E152&lt;'Cleaned Data'!D152,"ERROR","OK")</f>
        <v>OK</v>
      </c>
      <c r="M152" s="8" t="str">
        <f>IF(OR('Cleaned Data'!F152="",'Cleaned Data'!G152="",'Cleaned Data'!H152=""),"",IF('Cleaned Data'!F152=0,"CHECK",IF(ABS(('Cleaned Data'!G152/'Cleaned Data'!F152)-'Cleaned Data'!H152)&lt;=0.01,"OK","CHECK")))</f>
        <v>OK</v>
      </c>
    </row>
    <row r="153">
      <c r="L153" s="8" t="str">
        <f>IF('Cleaned Data'!E153&lt;'Cleaned Data'!D153,"ERROR","OK")</f>
        <v>OK</v>
      </c>
      <c r="M153" s="8" t="str">
        <f>IF(OR('Cleaned Data'!F153="",'Cleaned Data'!G153="",'Cleaned Data'!H153=""),"",IF('Cleaned Data'!F153=0,"CHECK",IF(ABS(('Cleaned Data'!G153/'Cleaned Data'!F153)-'Cleaned Data'!H153)&lt;=0.01,"OK","CHECK")))</f>
        <v>OK</v>
      </c>
    </row>
    <row r="154">
      <c r="L154" s="8" t="str">
        <f>IF('Cleaned Data'!E154&lt;'Cleaned Data'!D154,"ERROR","OK")</f>
        <v>OK</v>
      </c>
      <c r="M154" s="8" t="str">
        <f>IF(OR('Cleaned Data'!F154="",'Cleaned Data'!G154="",'Cleaned Data'!H154=""),"",IF('Cleaned Data'!F154=0,"CHECK",IF(ABS(('Cleaned Data'!G154/'Cleaned Data'!F154)-'Cleaned Data'!H154)&lt;=0.01,"OK","CHECK")))</f>
        <v>OK</v>
      </c>
    </row>
    <row r="155">
      <c r="L155" s="8" t="str">
        <f>IF('Cleaned Data'!E155&lt;'Cleaned Data'!D155,"ERROR","OK")</f>
        <v>OK</v>
      </c>
      <c r="M155" s="8" t="str">
        <f>IF(OR('Cleaned Data'!F155="",'Cleaned Data'!G155="",'Cleaned Data'!H155=""),"",IF('Cleaned Data'!F155=0,"CHECK",IF(ABS(('Cleaned Data'!G155/'Cleaned Data'!F155)-'Cleaned Data'!H155)&lt;=0.01,"OK","CHECK")))</f>
        <v>OK</v>
      </c>
    </row>
    <row r="156">
      <c r="L156" s="8" t="str">
        <f>IF('Cleaned Data'!E156&lt;'Cleaned Data'!D156,"ERROR","OK")</f>
        <v>OK</v>
      </c>
      <c r="M156" s="8" t="str">
        <f>IF(OR('Cleaned Data'!F156="",'Cleaned Data'!G156="",'Cleaned Data'!H156=""),"",IF('Cleaned Data'!F156=0,"CHECK",IF(ABS(('Cleaned Data'!G156/'Cleaned Data'!F156)-'Cleaned Data'!H156)&lt;=0.01,"OK","CHECK")))</f>
        <v>OK</v>
      </c>
    </row>
    <row r="157">
      <c r="L157" s="8" t="str">
        <f>IF('Cleaned Data'!E157&lt;'Cleaned Data'!D157,"ERROR","OK")</f>
        <v>OK</v>
      </c>
      <c r="M157" s="8" t="str">
        <f>IF(OR('Cleaned Data'!F157="",'Cleaned Data'!G157="",'Cleaned Data'!H157=""),"",IF('Cleaned Data'!F157=0,"CHECK",IF(ABS(('Cleaned Data'!G157/'Cleaned Data'!F157)-'Cleaned Data'!H157)&lt;=0.01,"OK","CHECK")))</f>
        <v>OK</v>
      </c>
    </row>
    <row r="158">
      <c r="L158" s="8" t="str">
        <f>IF('Cleaned Data'!E158&lt;'Cleaned Data'!D158,"ERROR","OK")</f>
        <v>OK</v>
      </c>
      <c r="M158" s="8" t="str">
        <f>IF(OR('Cleaned Data'!F158="",'Cleaned Data'!G158="",'Cleaned Data'!H158=""),"",IF('Cleaned Data'!F158=0,"CHECK",IF(ABS(('Cleaned Data'!G158/'Cleaned Data'!F158)-'Cleaned Data'!H158)&lt;=0.01,"OK","CHECK")))</f>
        <v>OK</v>
      </c>
    </row>
    <row r="159">
      <c r="L159" s="8" t="str">
        <f>IF('Cleaned Data'!E159&lt;'Cleaned Data'!D159,"ERROR","OK")</f>
        <v>OK</v>
      </c>
      <c r="M159" s="8" t="str">
        <f>IF(OR('Cleaned Data'!F159="",'Cleaned Data'!G159="",'Cleaned Data'!H159=""),"",IF('Cleaned Data'!F159=0,"CHECK",IF(ABS(('Cleaned Data'!G159/'Cleaned Data'!F159)-'Cleaned Data'!H159)&lt;=0.01,"OK","CHECK")))</f>
        <v>OK</v>
      </c>
    </row>
    <row r="160">
      <c r="L160" s="8" t="str">
        <f>IF('Cleaned Data'!E160&lt;'Cleaned Data'!D160,"ERROR","OK")</f>
        <v>OK</v>
      </c>
      <c r="M160" s="8" t="str">
        <f>IF(OR('Cleaned Data'!F160="",'Cleaned Data'!G160="",'Cleaned Data'!H160=""),"",IF('Cleaned Data'!F160=0,"CHECK",IF(ABS(('Cleaned Data'!G160/'Cleaned Data'!F160)-'Cleaned Data'!H160)&lt;=0.01,"OK","CHECK")))</f>
        <v>OK</v>
      </c>
    </row>
    <row r="161">
      <c r="L161" s="8" t="str">
        <f>IF('Cleaned Data'!E161&lt;'Cleaned Data'!D161,"ERROR","OK")</f>
        <v>OK</v>
      </c>
      <c r="M161" s="8" t="str">
        <f>IF(OR('Cleaned Data'!F161="",'Cleaned Data'!G161="",'Cleaned Data'!H161=""),"",IF('Cleaned Data'!F161=0,"CHECK",IF(ABS(('Cleaned Data'!G161/'Cleaned Data'!F161)-'Cleaned Data'!H161)&lt;=0.01,"OK","CHECK")))</f>
        <v>OK</v>
      </c>
    </row>
    <row r="162">
      <c r="L162" s="8" t="str">
        <f>IF('Cleaned Data'!E162&lt;'Cleaned Data'!D162,"ERROR","OK")</f>
        <v>OK</v>
      </c>
      <c r="M162" s="8" t="str">
        <f>IF(OR('Cleaned Data'!F162="",'Cleaned Data'!G162="",'Cleaned Data'!H162=""),"",IF('Cleaned Data'!F162=0,"CHECK",IF(ABS(('Cleaned Data'!G162/'Cleaned Data'!F162)-'Cleaned Data'!H162)&lt;=0.01,"OK","CHECK")))</f>
        <v>OK</v>
      </c>
    </row>
    <row r="163">
      <c r="L163" s="8" t="str">
        <f>IF('Cleaned Data'!E163&lt;'Cleaned Data'!D163,"ERROR","OK")</f>
        <v>OK</v>
      </c>
      <c r="M163" s="8" t="str">
        <f>IF(OR('Cleaned Data'!F163="",'Cleaned Data'!G163="",'Cleaned Data'!H163=""),"",IF('Cleaned Data'!F163=0,"CHECK",IF(ABS(('Cleaned Data'!G163/'Cleaned Data'!F163)-'Cleaned Data'!H163)&lt;=0.01,"OK","CHECK")))</f>
        <v>OK</v>
      </c>
    </row>
    <row r="164">
      <c r="L164" s="8" t="str">
        <f>IF('Cleaned Data'!E164&lt;'Cleaned Data'!D164,"ERROR","OK")</f>
        <v>OK</v>
      </c>
      <c r="M164" s="8" t="str">
        <f>IF(OR('Cleaned Data'!F164="",'Cleaned Data'!G164="",'Cleaned Data'!H164=""),"",IF('Cleaned Data'!F164=0,"CHECK",IF(ABS(('Cleaned Data'!G164/'Cleaned Data'!F164)-'Cleaned Data'!H164)&lt;=0.01,"OK","CHECK")))</f>
        <v>OK</v>
      </c>
    </row>
    <row r="165">
      <c r="L165" s="8" t="str">
        <f>IF('Cleaned Data'!E165&lt;'Cleaned Data'!D165,"ERROR","OK")</f>
        <v>OK</v>
      </c>
      <c r="M165" s="8" t="str">
        <f>IF(OR('Cleaned Data'!F165="",'Cleaned Data'!G165="",'Cleaned Data'!H165=""),"",IF('Cleaned Data'!F165=0,"CHECK",IF(ABS(('Cleaned Data'!G165/'Cleaned Data'!F165)-'Cleaned Data'!H165)&lt;=0.01,"OK","CHECK")))</f>
        <v>OK</v>
      </c>
    </row>
    <row r="166">
      <c r="L166" s="8" t="str">
        <f>IF('Cleaned Data'!E166&lt;'Cleaned Data'!D166,"ERROR","OK")</f>
        <v>OK</v>
      </c>
      <c r="M166" s="8" t="str">
        <f>IF(OR('Cleaned Data'!F166="",'Cleaned Data'!G166="",'Cleaned Data'!H166=""),"",IF('Cleaned Data'!F166=0,"CHECK",IF(ABS(('Cleaned Data'!G166/'Cleaned Data'!F166)-'Cleaned Data'!H166)&lt;=0.01,"OK","CHECK")))</f>
        <v>OK</v>
      </c>
    </row>
    <row r="167">
      <c r="L167" s="8" t="str">
        <f>IF('Cleaned Data'!E167&lt;'Cleaned Data'!D167,"ERROR","OK")</f>
        <v>OK</v>
      </c>
      <c r="M167" s="8" t="str">
        <f>IF(OR('Cleaned Data'!F167="",'Cleaned Data'!G167="",'Cleaned Data'!H167=""),"",IF('Cleaned Data'!F167=0,"CHECK",IF(ABS(('Cleaned Data'!G167/'Cleaned Data'!F167)-'Cleaned Data'!H167)&lt;=0.01,"OK","CHECK")))</f>
        <v>OK</v>
      </c>
    </row>
    <row r="168">
      <c r="L168" s="8" t="str">
        <f>IF('Cleaned Data'!E168&lt;'Cleaned Data'!D168,"ERROR","OK")</f>
        <v>OK</v>
      </c>
      <c r="M168" s="8" t="str">
        <f>IF(OR('Cleaned Data'!F168="",'Cleaned Data'!G168="",'Cleaned Data'!H168=""),"",IF('Cleaned Data'!F168=0,"CHECK",IF(ABS(('Cleaned Data'!G168/'Cleaned Data'!F168)-'Cleaned Data'!H168)&lt;=0.01,"OK","CHECK")))</f>
        <v>OK</v>
      </c>
    </row>
    <row r="169">
      <c r="L169" s="8" t="str">
        <f>IF('Cleaned Data'!E169&lt;'Cleaned Data'!D169,"ERROR","OK")</f>
        <v>OK</v>
      </c>
      <c r="M169" s="8" t="str">
        <f>IF(OR('Cleaned Data'!F169="",'Cleaned Data'!G169="",'Cleaned Data'!H169=""),"",IF('Cleaned Data'!F169=0,"CHECK",IF(ABS(('Cleaned Data'!G169/'Cleaned Data'!F169)-'Cleaned Data'!H169)&lt;=0.01,"OK","CHECK")))</f>
        <v>OK</v>
      </c>
    </row>
    <row r="170">
      <c r="L170" s="8" t="str">
        <f>IF('Cleaned Data'!E170&lt;'Cleaned Data'!D170,"ERROR","OK")</f>
        <v>OK</v>
      </c>
      <c r="M170" s="8" t="str">
        <f>IF(OR('Cleaned Data'!F170="",'Cleaned Data'!G170="",'Cleaned Data'!H170=""),"",IF('Cleaned Data'!F170=0,"CHECK",IF(ABS(('Cleaned Data'!G170/'Cleaned Data'!F170)-'Cleaned Data'!H170)&lt;=0.01,"OK","CHECK")))</f>
        <v>OK</v>
      </c>
    </row>
    <row r="171">
      <c r="L171" s="8" t="str">
        <f>IF('Cleaned Data'!E171&lt;'Cleaned Data'!D171,"ERROR","OK")</f>
        <v>OK</v>
      </c>
      <c r="M171" s="8" t="str">
        <f>IF(OR('Cleaned Data'!F171="",'Cleaned Data'!G171="",'Cleaned Data'!H171=""),"",IF('Cleaned Data'!F171=0,"CHECK",IF(ABS(('Cleaned Data'!G171/'Cleaned Data'!F171)-'Cleaned Data'!H171)&lt;=0.01,"OK","CHECK")))</f>
        <v>OK</v>
      </c>
    </row>
    <row r="172">
      <c r="L172" s="8" t="str">
        <f>IF('Cleaned Data'!E172&lt;'Cleaned Data'!D172,"ERROR","OK")</f>
        <v>OK</v>
      </c>
      <c r="M172" s="8" t="str">
        <f>IF(OR('Cleaned Data'!F172="",'Cleaned Data'!G172="",'Cleaned Data'!H172=""),"",IF('Cleaned Data'!F172=0,"CHECK",IF(ABS(('Cleaned Data'!G172/'Cleaned Data'!F172)-'Cleaned Data'!H172)&lt;=0.01,"OK","CHECK")))</f>
        <v>OK</v>
      </c>
    </row>
    <row r="173">
      <c r="L173" s="8" t="str">
        <f>IF('Cleaned Data'!E173&lt;'Cleaned Data'!D173,"ERROR","OK")</f>
        <v>OK</v>
      </c>
      <c r="M173" s="8" t="str">
        <f>IF(OR('Cleaned Data'!F173="",'Cleaned Data'!G173="",'Cleaned Data'!H173=""),"",IF('Cleaned Data'!F173=0,"CHECK",IF(ABS(('Cleaned Data'!G173/'Cleaned Data'!F173)-'Cleaned Data'!H173)&lt;=0.01,"OK","CHECK")))</f>
        <v>OK</v>
      </c>
    </row>
    <row r="174">
      <c r="L174" s="8" t="str">
        <f>IF('Cleaned Data'!E174&lt;'Cleaned Data'!D174,"ERROR","OK")</f>
        <v>OK</v>
      </c>
      <c r="M174" s="8" t="str">
        <f>IF(OR('Cleaned Data'!F174="",'Cleaned Data'!G174="",'Cleaned Data'!H174=""),"",IF('Cleaned Data'!F174=0,"CHECK",IF(ABS(('Cleaned Data'!G174/'Cleaned Data'!F174)-'Cleaned Data'!H174)&lt;=0.01,"OK","CHECK")))</f>
        <v>OK</v>
      </c>
    </row>
    <row r="175">
      <c r="L175" s="8" t="str">
        <f>IF('Cleaned Data'!E175&lt;'Cleaned Data'!D175,"ERROR","OK")</f>
        <v>OK</v>
      </c>
      <c r="M175" s="8" t="str">
        <f>IF(OR('Cleaned Data'!F175="",'Cleaned Data'!G175="",'Cleaned Data'!H175=""),"",IF('Cleaned Data'!F175=0,"CHECK",IF(ABS(('Cleaned Data'!G175/'Cleaned Data'!F175)-'Cleaned Data'!H175)&lt;=0.01,"OK","CHECK")))</f>
        <v>OK</v>
      </c>
    </row>
    <row r="176">
      <c r="L176" s="8" t="str">
        <f>IF('Cleaned Data'!E176&lt;'Cleaned Data'!D176,"ERROR","OK")</f>
        <v>OK</v>
      </c>
      <c r="M176" s="8" t="str">
        <f>IF(OR('Cleaned Data'!F176="",'Cleaned Data'!G176="",'Cleaned Data'!H176=""),"",IF('Cleaned Data'!F176=0,"CHECK",IF(ABS(('Cleaned Data'!G176/'Cleaned Data'!F176)-'Cleaned Data'!H176)&lt;=0.01,"OK","CHECK")))</f>
        <v>OK</v>
      </c>
    </row>
    <row r="177">
      <c r="L177" s="8" t="str">
        <f>IF('Cleaned Data'!E177&lt;'Cleaned Data'!D177,"ERROR","OK")</f>
        <v>OK</v>
      </c>
      <c r="M177" s="8" t="str">
        <f>IF(OR('Cleaned Data'!F177="",'Cleaned Data'!G177="",'Cleaned Data'!H177=""),"",IF('Cleaned Data'!F177=0,"CHECK",IF(ABS(('Cleaned Data'!G177/'Cleaned Data'!F177)-'Cleaned Data'!H177)&lt;=0.01,"OK","CHECK")))</f>
        <v>OK</v>
      </c>
    </row>
    <row r="178">
      <c r="L178" s="8" t="str">
        <f>IF('Cleaned Data'!E178&lt;'Cleaned Data'!D178,"ERROR","OK")</f>
        <v>OK</v>
      </c>
      <c r="M178" s="8" t="str">
        <f>IF(OR('Cleaned Data'!F178="",'Cleaned Data'!G178="",'Cleaned Data'!H178=""),"",IF('Cleaned Data'!F178=0,"CHECK",IF(ABS(('Cleaned Data'!G178/'Cleaned Data'!F178)-'Cleaned Data'!H178)&lt;=0.01,"OK","CHECK")))</f>
        <v>OK</v>
      </c>
    </row>
    <row r="179">
      <c r="L179" s="8" t="str">
        <f>IF('Cleaned Data'!E179&lt;'Cleaned Data'!D179,"ERROR","OK")</f>
        <v>OK</v>
      </c>
      <c r="M179" s="8" t="str">
        <f>IF(OR('Cleaned Data'!F179="",'Cleaned Data'!G179="",'Cleaned Data'!H179=""),"",IF('Cleaned Data'!F179=0,"CHECK",IF(ABS(('Cleaned Data'!G179/'Cleaned Data'!F179)-'Cleaned Data'!H179)&lt;=0.01,"OK","CHECK")))</f>
        <v>OK</v>
      </c>
    </row>
    <row r="180">
      <c r="L180" s="8" t="str">
        <f>IF('Cleaned Data'!E180&lt;'Cleaned Data'!D180,"ERROR","OK")</f>
        <v>OK</v>
      </c>
      <c r="M180" s="8" t="str">
        <f>IF(OR('Cleaned Data'!F180="",'Cleaned Data'!G180="",'Cleaned Data'!H180=""),"",IF('Cleaned Data'!F180=0,"CHECK",IF(ABS(('Cleaned Data'!G180/'Cleaned Data'!F180)-'Cleaned Data'!H180)&lt;=0.01,"OK","CHECK")))</f>
        <v>OK</v>
      </c>
    </row>
    <row r="181">
      <c r="L181" s="8" t="str">
        <f>IF('Cleaned Data'!E181&lt;'Cleaned Data'!D181,"ERROR","OK")</f>
        <v>OK</v>
      </c>
      <c r="M181" s="8" t="str">
        <f>IF(OR('Cleaned Data'!F181="",'Cleaned Data'!G181="",'Cleaned Data'!H181=""),"",IF('Cleaned Data'!F181=0,"CHECK",IF(ABS(('Cleaned Data'!G181/'Cleaned Data'!F181)-'Cleaned Data'!H181)&lt;=0.01,"OK","CHECK")))</f>
        <v>OK</v>
      </c>
    </row>
    <row r="182">
      <c r="L182" s="8" t="str">
        <f>IF('Cleaned Data'!E182&lt;'Cleaned Data'!D182,"ERROR","OK")</f>
        <v>OK</v>
      </c>
      <c r="M182" s="8" t="str">
        <f>IF(OR('Cleaned Data'!F182="",'Cleaned Data'!G182="",'Cleaned Data'!H182=""),"",IF('Cleaned Data'!F182=0,"CHECK",IF(ABS(('Cleaned Data'!G182/'Cleaned Data'!F182)-'Cleaned Data'!H182)&lt;=0.01,"OK","CHECK")))</f>
        <v>OK</v>
      </c>
    </row>
    <row r="183">
      <c r="L183" s="8" t="str">
        <f>IF('Cleaned Data'!E183&lt;'Cleaned Data'!D183,"ERROR","OK")</f>
        <v>OK</v>
      </c>
      <c r="M183" s="8" t="str">
        <f>IF(OR('Cleaned Data'!F183="",'Cleaned Data'!G183="",'Cleaned Data'!H183=""),"",IF('Cleaned Data'!F183=0,"CHECK",IF(ABS(('Cleaned Data'!G183/'Cleaned Data'!F183)-'Cleaned Data'!H183)&lt;=0.01,"OK","CHECK")))</f>
        <v>OK</v>
      </c>
    </row>
    <row r="184">
      <c r="L184" s="8" t="str">
        <f>IF('Cleaned Data'!E184&lt;'Cleaned Data'!D184,"ERROR","OK")</f>
        <v>OK</v>
      </c>
      <c r="M184" s="8" t="str">
        <f>IF(OR('Cleaned Data'!F184="",'Cleaned Data'!G184="",'Cleaned Data'!H184=""),"",IF('Cleaned Data'!F184=0,"CHECK",IF(ABS(('Cleaned Data'!G184/'Cleaned Data'!F184)-'Cleaned Data'!H184)&lt;=0.01,"OK","CHECK")))</f>
        <v>OK</v>
      </c>
    </row>
    <row r="185">
      <c r="L185" s="8" t="str">
        <f>IF('Cleaned Data'!E185&lt;'Cleaned Data'!D185,"ERROR","OK")</f>
        <v>OK</v>
      </c>
      <c r="M185" s="8" t="str">
        <f>IF(OR('Cleaned Data'!F185="",'Cleaned Data'!G185="",'Cleaned Data'!H185=""),"",IF('Cleaned Data'!F185=0,"CHECK",IF(ABS(('Cleaned Data'!G185/'Cleaned Data'!F185)-'Cleaned Data'!H185)&lt;=0.01,"OK","CHECK")))</f>
        <v>OK</v>
      </c>
    </row>
    <row r="186">
      <c r="L186" s="8" t="str">
        <f>IF('Cleaned Data'!E186&lt;'Cleaned Data'!D186,"ERROR","OK")</f>
        <v>OK</v>
      </c>
      <c r="M186" s="8" t="str">
        <f>IF(OR('Cleaned Data'!F186="",'Cleaned Data'!G186="",'Cleaned Data'!H186=""),"",IF('Cleaned Data'!F186=0,"CHECK",IF(ABS(('Cleaned Data'!G186/'Cleaned Data'!F186)-'Cleaned Data'!H186)&lt;=0.01,"OK","CHECK")))</f>
        <v>OK</v>
      </c>
    </row>
    <row r="187">
      <c r="L187" s="8" t="str">
        <f>IF('Cleaned Data'!E187&lt;'Cleaned Data'!D187,"ERROR","OK")</f>
        <v>OK</v>
      </c>
      <c r="M187" s="8" t="str">
        <f>IF(OR('Cleaned Data'!F187="",'Cleaned Data'!G187="",'Cleaned Data'!H187=""),"",IF('Cleaned Data'!F187=0,"CHECK",IF(ABS(('Cleaned Data'!G187/'Cleaned Data'!F187)-'Cleaned Data'!H187)&lt;=0.01,"OK","CHECK")))</f>
        <v>OK</v>
      </c>
    </row>
    <row r="188">
      <c r="L188" s="8" t="str">
        <f>IF('Cleaned Data'!E188&lt;'Cleaned Data'!D188,"ERROR","OK")</f>
        <v>OK</v>
      </c>
      <c r="M188" s="8" t="str">
        <f>IF(OR('Cleaned Data'!F188="",'Cleaned Data'!G188="",'Cleaned Data'!H188=""),"",IF('Cleaned Data'!F188=0,"CHECK",IF(ABS(('Cleaned Data'!G188/'Cleaned Data'!F188)-'Cleaned Data'!H188)&lt;=0.01,"OK","CHECK")))</f>
        <v>OK</v>
      </c>
    </row>
    <row r="189">
      <c r="L189" s="8" t="str">
        <f>IF('Cleaned Data'!E189&lt;'Cleaned Data'!D189,"ERROR","OK")</f>
        <v>OK</v>
      </c>
      <c r="M189" s="8" t="str">
        <f>IF(OR('Cleaned Data'!F189="",'Cleaned Data'!G189="",'Cleaned Data'!H189=""),"",IF('Cleaned Data'!F189=0,"CHECK",IF(ABS(('Cleaned Data'!G189/'Cleaned Data'!F189)-'Cleaned Data'!H189)&lt;=0.01,"OK","CHECK")))</f>
        <v>OK</v>
      </c>
    </row>
    <row r="190">
      <c r="L190" s="8" t="str">
        <f>IF('Cleaned Data'!E190&lt;'Cleaned Data'!D190,"ERROR","OK")</f>
        <v>OK</v>
      </c>
      <c r="M190" s="8" t="str">
        <f>IF(OR('Cleaned Data'!F190="",'Cleaned Data'!G190="",'Cleaned Data'!H190=""),"",IF('Cleaned Data'!F190=0,"CHECK",IF(ABS(('Cleaned Data'!G190/'Cleaned Data'!F190)-'Cleaned Data'!H190)&lt;=0.01,"OK","CHECK")))</f>
        <v>OK</v>
      </c>
    </row>
    <row r="191">
      <c r="L191" s="8" t="str">
        <f>IF('Cleaned Data'!E191&lt;'Cleaned Data'!D191,"ERROR","OK")</f>
        <v>OK</v>
      </c>
      <c r="M191" s="8" t="str">
        <f>IF(OR('Cleaned Data'!F191="",'Cleaned Data'!G191="",'Cleaned Data'!H191=""),"",IF('Cleaned Data'!F191=0,"CHECK",IF(ABS(('Cleaned Data'!G191/'Cleaned Data'!F191)-'Cleaned Data'!H191)&lt;=0.01,"OK","CHECK")))</f>
        <v>OK</v>
      </c>
    </row>
    <row r="192">
      <c r="L192" s="8" t="str">
        <f>IF('Cleaned Data'!E192&lt;'Cleaned Data'!D192,"ERROR","OK")</f>
        <v>OK</v>
      </c>
      <c r="M192" s="8" t="str">
        <f>IF(OR('Cleaned Data'!F192="",'Cleaned Data'!G192="",'Cleaned Data'!H192=""),"",IF('Cleaned Data'!F192=0,"CHECK",IF(ABS(('Cleaned Data'!G192/'Cleaned Data'!F192)-'Cleaned Data'!H192)&lt;=0.01,"OK","CHECK")))</f>
        <v>OK</v>
      </c>
    </row>
    <row r="193">
      <c r="L193" s="8" t="str">
        <f>IF('Cleaned Data'!E193&lt;'Cleaned Data'!D193,"ERROR","OK")</f>
        <v>OK</v>
      </c>
      <c r="M193" s="8" t="str">
        <f>IF(OR('Cleaned Data'!F193="",'Cleaned Data'!G193="",'Cleaned Data'!H193=""),"",IF('Cleaned Data'!F193=0,"CHECK",IF(ABS(('Cleaned Data'!G193/'Cleaned Data'!F193)-'Cleaned Data'!H193)&lt;=0.01,"OK","CHECK")))</f>
        <v>OK</v>
      </c>
    </row>
    <row r="194">
      <c r="L194" s="8" t="str">
        <f>IF('Cleaned Data'!E194&lt;'Cleaned Data'!D194,"ERROR","OK")</f>
        <v>OK</v>
      </c>
      <c r="M194" s="8" t="str">
        <f>IF(OR('Cleaned Data'!F194="",'Cleaned Data'!G194="",'Cleaned Data'!H194=""),"",IF('Cleaned Data'!F194=0,"CHECK",IF(ABS(('Cleaned Data'!G194/'Cleaned Data'!F194)-'Cleaned Data'!H194)&lt;=0.01,"OK","CHECK")))</f>
        <v>OK</v>
      </c>
    </row>
    <row r="195">
      <c r="L195" s="8" t="str">
        <f>IF('Cleaned Data'!E195&lt;'Cleaned Data'!D195,"ERROR","OK")</f>
        <v>OK</v>
      </c>
      <c r="M195" s="8" t="str">
        <f>IF(OR('Cleaned Data'!F195="",'Cleaned Data'!G195="",'Cleaned Data'!H195=""),"",IF('Cleaned Data'!F195=0,"CHECK",IF(ABS(('Cleaned Data'!G195/'Cleaned Data'!F195)-'Cleaned Data'!H195)&lt;=0.01,"OK","CHECK")))</f>
        <v>OK</v>
      </c>
    </row>
    <row r="196">
      <c r="L196" s="8" t="str">
        <f>IF('Cleaned Data'!E196&lt;'Cleaned Data'!D196,"ERROR","OK")</f>
        <v>OK</v>
      </c>
      <c r="M196" s="8" t="str">
        <f>IF(OR('Cleaned Data'!F196="",'Cleaned Data'!G196="",'Cleaned Data'!H196=""),"",IF('Cleaned Data'!F196=0,"CHECK",IF(ABS(('Cleaned Data'!G196/'Cleaned Data'!F196)-'Cleaned Data'!H196)&lt;=0.01,"OK","CHECK")))</f>
        <v>OK</v>
      </c>
    </row>
    <row r="197">
      <c r="L197" s="8" t="str">
        <f>IF('Cleaned Data'!E197&lt;'Cleaned Data'!D197,"ERROR","OK")</f>
        <v>OK</v>
      </c>
      <c r="M197" s="8" t="str">
        <f>IF(OR('Cleaned Data'!F197="",'Cleaned Data'!G197="",'Cleaned Data'!H197=""),"",IF('Cleaned Data'!F197=0,"CHECK",IF(ABS(('Cleaned Data'!G197/'Cleaned Data'!F197)-'Cleaned Data'!H197)&lt;=0.01,"OK","CHECK")))</f>
        <v>OK</v>
      </c>
    </row>
    <row r="198">
      <c r="L198" s="8" t="str">
        <f>IF('Cleaned Data'!E198&lt;'Cleaned Data'!D198,"ERROR","OK")</f>
        <v>OK</v>
      </c>
      <c r="M198" s="8" t="str">
        <f>IF(OR('Cleaned Data'!F198="",'Cleaned Data'!G198="",'Cleaned Data'!H198=""),"",IF('Cleaned Data'!F198=0,"CHECK",IF(ABS(('Cleaned Data'!G198/'Cleaned Data'!F198)-'Cleaned Data'!H198)&lt;=0.01,"OK","CHECK")))</f>
        <v>OK</v>
      </c>
    </row>
    <row r="199">
      <c r="L199" s="8" t="str">
        <f>IF('Cleaned Data'!E199&lt;'Cleaned Data'!D199,"ERROR","OK")</f>
        <v>OK</v>
      </c>
      <c r="M199" s="8" t="str">
        <f>IF(OR('Cleaned Data'!F199="",'Cleaned Data'!G199="",'Cleaned Data'!H199=""),"",IF('Cleaned Data'!F199=0,"CHECK",IF(ABS(('Cleaned Data'!G199/'Cleaned Data'!F199)-'Cleaned Data'!H199)&lt;=0.01,"OK","CHECK")))</f>
        <v>OK</v>
      </c>
    </row>
    <row r="200">
      <c r="L200" s="8" t="str">
        <f>IF('Cleaned Data'!E200&lt;'Cleaned Data'!D200,"ERROR","OK")</f>
        <v>OK</v>
      </c>
      <c r="M200" s="8" t="str">
        <f>IF(OR('Cleaned Data'!F200="",'Cleaned Data'!G200="",'Cleaned Data'!H200=""),"",IF('Cleaned Data'!F200=0,"CHECK",IF(ABS(('Cleaned Data'!G200/'Cleaned Data'!F200)-'Cleaned Data'!H200)&lt;=0.01,"OK","CHECK")))</f>
        <v>OK</v>
      </c>
    </row>
    <row r="201">
      <c r="L201" s="8" t="str">
        <f>IF('Cleaned Data'!E201&lt;'Cleaned Data'!D201,"ERROR","OK")</f>
        <v>OK</v>
      </c>
      <c r="M201" s="8" t="str">
        <f>IF(OR('Cleaned Data'!F201="",'Cleaned Data'!G201="",'Cleaned Data'!H201=""),"",IF('Cleaned Data'!F201=0,"CHECK",IF(ABS(('Cleaned Data'!G201/'Cleaned Data'!F201)-'Cleaned Data'!H201)&lt;=0.01,"OK","CHECK")))</f>
        <v>OK</v>
      </c>
    </row>
    <row r="202">
      <c r="L202" s="8" t="str">
        <f>IF('Cleaned Data'!E202&lt;'Cleaned Data'!D202,"ERROR","OK")</f>
        <v>OK</v>
      </c>
      <c r="M202" s="8" t="str">
        <f>IF(OR('Cleaned Data'!F202="",'Cleaned Data'!G202="",'Cleaned Data'!H202=""),"",IF('Cleaned Data'!F202=0,"CHECK",IF(ABS(('Cleaned Data'!G202/'Cleaned Data'!F202)-'Cleaned Data'!H202)&lt;=0.01,"OK","CHECK")))</f>
        <v>OK</v>
      </c>
    </row>
    <row r="203">
      <c r="L203" s="8" t="str">
        <f>IF('Cleaned Data'!E203&lt;'Cleaned Data'!D203,"ERROR","OK")</f>
        <v>OK</v>
      </c>
      <c r="M203" s="8" t="str">
        <f>IF(OR('Cleaned Data'!F203="",'Cleaned Data'!G203="",'Cleaned Data'!H203=""),"",IF('Cleaned Data'!F203=0,"CHECK",IF(ABS(('Cleaned Data'!G203/'Cleaned Data'!F203)-'Cleaned Data'!H203)&lt;=0.01,"OK","CHECK")))</f>
        <v>OK</v>
      </c>
    </row>
    <row r="204">
      <c r="L204" s="8" t="str">
        <f>IF('Cleaned Data'!E204&lt;'Cleaned Data'!D204,"ERROR","OK")</f>
        <v>OK</v>
      </c>
      <c r="M204" s="8" t="str">
        <f>IF(OR('Cleaned Data'!F204="",'Cleaned Data'!G204="",'Cleaned Data'!H204=""),"",IF('Cleaned Data'!F204=0,"CHECK",IF(ABS(('Cleaned Data'!G204/'Cleaned Data'!F204)-'Cleaned Data'!H204)&lt;=0.01,"OK","CHECK")))</f>
        <v>OK</v>
      </c>
    </row>
    <row r="205">
      <c r="L205" s="8" t="str">
        <f>IF('Cleaned Data'!E205&lt;'Cleaned Data'!D205,"ERROR","OK")</f>
        <v>OK</v>
      </c>
      <c r="M205" s="8" t="str">
        <f>IF(OR('Cleaned Data'!F205="",'Cleaned Data'!G205="",'Cleaned Data'!H205=""),"",IF('Cleaned Data'!F205=0,"CHECK",IF(ABS(('Cleaned Data'!G205/'Cleaned Data'!F205)-'Cleaned Data'!H205)&lt;=0.01,"OK","CHECK")))</f>
        <v>OK</v>
      </c>
    </row>
    <row r="206">
      <c r="L206" s="8" t="str">
        <f>IF('Cleaned Data'!E206&lt;'Cleaned Data'!D206,"ERROR","OK")</f>
        <v>OK</v>
      </c>
      <c r="M206" s="8" t="str">
        <f>IF(OR('Cleaned Data'!F206="",'Cleaned Data'!G206="",'Cleaned Data'!H206=""),"",IF('Cleaned Data'!F206=0,"CHECK",IF(ABS(('Cleaned Data'!G206/'Cleaned Data'!F206)-'Cleaned Data'!H206)&lt;=0.01,"OK","CHECK")))</f>
        <v>OK</v>
      </c>
    </row>
    <row r="207">
      <c r="L207" s="8" t="str">
        <f>IF('Cleaned Data'!E207&lt;'Cleaned Data'!D207,"ERROR","OK")</f>
        <v>OK</v>
      </c>
      <c r="M207" s="8" t="str">
        <f>IF(OR('Cleaned Data'!F207="",'Cleaned Data'!G207="",'Cleaned Data'!H207=""),"",IF('Cleaned Data'!F207=0,"CHECK",IF(ABS(('Cleaned Data'!G207/'Cleaned Data'!F207)-'Cleaned Data'!H207)&lt;=0.01,"OK","CHECK")))</f>
        <v>OK</v>
      </c>
    </row>
    <row r="208">
      <c r="L208" s="8" t="str">
        <f>IF('Cleaned Data'!E208&lt;'Cleaned Data'!D208,"ERROR","OK")</f>
        <v>OK</v>
      </c>
      <c r="M208" s="8" t="str">
        <f>IF(OR('Cleaned Data'!F208="",'Cleaned Data'!G208="",'Cleaned Data'!H208=""),"",IF('Cleaned Data'!F208=0,"CHECK",IF(ABS(('Cleaned Data'!G208/'Cleaned Data'!F208)-'Cleaned Data'!H208)&lt;=0.01,"OK","CHECK")))</f>
        <v>OK</v>
      </c>
    </row>
    <row r="209">
      <c r="L209" s="8" t="str">
        <f>IF('Cleaned Data'!E209&lt;'Cleaned Data'!D209,"ERROR","OK")</f>
        <v>OK</v>
      </c>
      <c r="M209" s="8" t="str">
        <f>IF(OR('Cleaned Data'!F209="",'Cleaned Data'!G209="",'Cleaned Data'!H209=""),"",IF('Cleaned Data'!F209=0,"CHECK",IF(ABS(('Cleaned Data'!G209/'Cleaned Data'!F209)-'Cleaned Data'!H209)&lt;=0.01,"OK","CHECK")))</f>
        <v>OK</v>
      </c>
    </row>
    <row r="210">
      <c r="L210" s="8" t="str">
        <f>IF('Cleaned Data'!E210&lt;'Cleaned Data'!D210,"ERROR","OK")</f>
        <v>OK</v>
      </c>
      <c r="M210" s="8" t="str">
        <f>IF(OR('Cleaned Data'!F210="",'Cleaned Data'!G210="",'Cleaned Data'!H210=""),"",IF('Cleaned Data'!F210=0,"CHECK",IF(ABS(('Cleaned Data'!G210/'Cleaned Data'!F210)-'Cleaned Data'!H210)&lt;=0.01,"OK","CHECK")))</f>
        <v>OK</v>
      </c>
    </row>
    <row r="211">
      <c r="L211" s="8" t="str">
        <f>IF('Cleaned Data'!E211&lt;'Cleaned Data'!D211,"ERROR","OK")</f>
        <v>OK</v>
      </c>
      <c r="M211" s="8" t="str">
        <f>IF(OR('Cleaned Data'!F211="",'Cleaned Data'!G211="",'Cleaned Data'!H211=""),"",IF('Cleaned Data'!F211=0,"CHECK",IF(ABS(('Cleaned Data'!G211/'Cleaned Data'!F211)-'Cleaned Data'!H211)&lt;=0.01,"OK","CHECK")))</f>
        <v>OK</v>
      </c>
    </row>
    <row r="212">
      <c r="L212" s="8" t="str">
        <f>IF('Cleaned Data'!E212&lt;'Cleaned Data'!D212,"ERROR","OK")</f>
        <v>OK</v>
      </c>
      <c r="M212" s="8" t="str">
        <f>IF(OR('Cleaned Data'!F212="",'Cleaned Data'!G212="",'Cleaned Data'!H212=""),"",IF('Cleaned Data'!F212=0,"CHECK",IF(ABS(('Cleaned Data'!G212/'Cleaned Data'!F212)-'Cleaned Data'!H212)&lt;=0.01,"OK","CHECK")))</f>
        <v>OK</v>
      </c>
    </row>
    <row r="213">
      <c r="L213" s="8" t="str">
        <f>IF('Cleaned Data'!E213&lt;'Cleaned Data'!D213,"ERROR","OK")</f>
        <v>OK</v>
      </c>
      <c r="M213" s="8" t="str">
        <f>IF(OR('Cleaned Data'!F213="",'Cleaned Data'!G213="",'Cleaned Data'!H213=""),"",IF('Cleaned Data'!F213=0,"CHECK",IF(ABS(('Cleaned Data'!G213/'Cleaned Data'!F213)-'Cleaned Data'!H213)&lt;=0.01,"OK","CHECK")))</f>
        <v>OK</v>
      </c>
    </row>
    <row r="214">
      <c r="L214" s="8" t="str">
        <f>IF('Cleaned Data'!E214&lt;'Cleaned Data'!D214,"ERROR","OK")</f>
        <v>OK</v>
      </c>
      <c r="M214" s="8" t="str">
        <f>IF(OR('Cleaned Data'!F214="",'Cleaned Data'!G214="",'Cleaned Data'!H214=""),"",IF('Cleaned Data'!F214=0,"CHECK",IF(ABS(('Cleaned Data'!G214/'Cleaned Data'!F214)-'Cleaned Data'!H214)&lt;=0.01,"OK","CHECK")))</f>
        <v>OK</v>
      </c>
    </row>
    <row r="215">
      <c r="L215" s="8" t="str">
        <f>IF('Cleaned Data'!E215&lt;'Cleaned Data'!D215,"ERROR","OK")</f>
        <v>OK</v>
      </c>
      <c r="M215" s="8" t="str">
        <f>IF(OR('Cleaned Data'!F215="",'Cleaned Data'!G215="",'Cleaned Data'!H215=""),"",IF('Cleaned Data'!F215=0,"CHECK",IF(ABS(('Cleaned Data'!G215/'Cleaned Data'!F215)-'Cleaned Data'!H215)&lt;=0.01,"OK","CHECK")))</f>
        <v>OK</v>
      </c>
    </row>
    <row r="216">
      <c r="L216" s="8" t="str">
        <f>IF('Cleaned Data'!E216&lt;'Cleaned Data'!D216,"ERROR","OK")</f>
        <v>OK</v>
      </c>
      <c r="M216" s="8" t="str">
        <f>IF(OR('Cleaned Data'!F216="",'Cleaned Data'!G216="",'Cleaned Data'!H216=""),"",IF('Cleaned Data'!F216=0,"CHECK",IF(ABS(('Cleaned Data'!G216/'Cleaned Data'!F216)-'Cleaned Data'!H216)&lt;=0.01,"OK","CHECK")))</f>
        <v>OK</v>
      </c>
    </row>
    <row r="217">
      <c r="L217" s="8" t="str">
        <f>IF('Cleaned Data'!E217&lt;'Cleaned Data'!D217,"ERROR","OK")</f>
        <v>OK</v>
      </c>
      <c r="M217" s="8" t="str">
        <f>IF(OR('Cleaned Data'!F217="",'Cleaned Data'!G217="",'Cleaned Data'!H217=""),"",IF('Cleaned Data'!F217=0,"CHECK",IF(ABS(('Cleaned Data'!G217/'Cleaned Data'!F217)-'Cleaned Data'!H217)&lt;=0.01,"OK","CHECK")))</f>
        <v>OK</v>
      </c>
    </row>
    <row r="218">
      <c r="L218" s="8" t="str">
        <f>IF('Cleaned Data'!E218&lt;'Cleaned Data'!D218,"ERROR","OK")</f>
        <v>OK</v>
      </c>
      <c r="M218" s="8" t="str">
        <f>IF(OR('Cleaned Data'!F218="",'Cleaned Data'!G218="",'Cleaned Data'!H218=""),"",IF('Cleaned Data'!F218=0,"CHECK",IF(ABS(('Cleaned Data'!G218/'Cleaned Data'!F218)-'Cleaned Data'!H218)&lt;=0.01,"OK","CHECK")))</f>
        <v>OK</v>
      </c>
    </row>
    <row r="219">
      <c r="L219" s="8" t="str">
        <f>IF('Cleaned Data'!E219&lt;'Cleaned Data'!D219,"ERROR","OK")</f>
        <v>OK</v>
      </c>
      <c r="M219" s="8" t="str">
        <f>IF(OR('Cleaned Data'!F219="",'Cleaned Data'!G219="",'Cleaned Data'!H219=""),"",IF('Cleaned Data'!F219=0,"CHECK",IF(ABS(('Cleaned Data'!G219/'Cleaned Data'!F219)-'Cleaned Data'!H219)&lt;=0.01,"OK","CHECK")))</f>
        <v>OK</v>
      </c>
    </row>
    <row r="220">
      <c r="L220" s="8" t="str">
        <f>IF('Cleaned Data'!E220&lt;'Cleaned Data'!D220,"ERROR","OK")</f>
        <v>OK</v>
      </c>
      <c r="M220" s="8" t="str">
        <f>IF(OR('Cleaned Data'!F220="",'Cleaned Data'!G220="",'Cleaned Data'!H220=""),"",IF('Cleaned Data'!F220=0,"CHECK",IF(ABS(('Cleaned Data'!G220/'Cleaned Data'!F220)-'Cleaned Data'!H220)&lt;=0.01,"OK","CHECK")))</f>
        <v>OK</v>
      </c>
    </row>
    <row r="221">
      <c r="L221" s="8" t="str">
        <f>IF('Cleaned Data'!E221&lt;'Cleaned Data'!D221,"ERROR","OK")</f>
        <v>OK</v>
      </c>
      <c r="M221" s="8" t="str">
        <f>IF(OR('Cleaned Data'!F221="",'Cleaned Data'!G221="",'Cleaned Data'!H221=""),"",IF('Cleaned Data'!F221=0,"CHECK",IF(ABS(('Cleaned Data'!G221/'Cleaned Data'!F221)-'Cleaned Data'!H221)&lt;=0.01,"OK","CHECK")))</f>
        <v>OK</v>
      </c>
    </row>
    <row r="222">
      <c r="L222" s="8" t="str">
        <f>IF('Cleaned Data'!E222&lt;'Cleaned Data'!D222,"ERROR","OK")</f>
        <v>OK</v>
      </c>
      <c r="M222" s="8" t="str">
        <f>IF(OR('Cleaned Data'!F222="",'Cleaned Data'!G222="",'Cleaned Data'!H222=""),"",IF('Cleaned Data'!F222=0,"CHECK",IF(ABS(('Cleaned Data'!G222/'Cleaned Data'!F222)-'Cleaned Data'!H222)&lt;=0.01,"OK","CHECK")))</f>
        <v>OK</v>
      </c>
    </row>
    <row r="223">
      <c r="L223" s="8" t="str">
        <f>IF('Cleaned Data'!E223&lt;'Cleaned Data'!D223,"ERROR","OK")</f>
        <v>OK</v>
      </c>
      <c r="M223" s="8" t="str">
        <f>IF(OR('Cleaned Data'!F223="",'Cleaned Data'!G223="",'Cleaned Data'!H223=""),"",IF('Cleaned Data'!F223=0,"CHECK",IF(ABS(('Cleaned Data'!G223/'Cleaned Data'!F223)-'Cleaned Data'!H223)&lt;=0.01,"OK","CHECK")))</f>
        <v>OK</v>
      </c>
    </row>
    <row r="224">
      <c r="L224" s="8" t="str">
        <f>IF('Cleaned Data'!E224&lt;'Cleaned Data'!D224,"ERROR","OK")</f>
        <v>OK</v>
      </c>
      <c r="M224" s="8" t="str">
        <f>IF(OR('Cleaned Data'!F224="",'Cleaned Data'!G224="",'Cleaned Data'!H224=""),"",IF('Cleaned Data'!F224=0,"CHECK",IF(ABS(('Cleaned Data'!G224/'Cleaned Data'!F224)-'Cleaned Data'!H224)&lt;=0.01,"OK","CHECK")))</f>
        <v>OK</v>
      </c>
    </row>
    <row r="225">
      <c r="L225" s="8" t="str">
        <f>IF('Cleaned Data'!E225&lt;'Cleaned Data'!D225,"ERROR","OK")</f>
        <v>OK</v>
      </c>
      <c r="M225" s="8" t="str">
        <f>IF(OR('Cleaned Data'!F225="",'Cleaned Data'!G225="",'Cleaned Data'!H225=""),"",IF('Cleaned Data'!F225=0,"CHECK",IF(ABS(('Cleaned Data'!G225/'Cleaned Data'!F225)-'Cleaned Data'!H225)&lt;=0.01,"OK","CHECK")))</f>
        <v>OK</v>
      </c>
    </row>
    <row r="226">
      <c r="L226" s="8" t="str">
        <f>IF('Cleaned Data'!E226&lt;'Cleaned Data'!D226,"ERROR","OK")</f>
        <v>OK</v>
      </c>
      <c r="M226" s="8" t="str">
        <f>IF(OR('Cleaned Data'!F226="",'Cleaned Data'!G226="",'Cleaned Data'!H226=""),"",IF('Cleaned Data'!F226=0,"CHECK",IF(ABS(('Cleaned Data'!G226/'Cleaned Data'!F226)-'Cleaned Data'!H226)&lt;=0.01,"OK","CHECK")))</f>
        <v>OK</v>
      </c>
    </row>
    <row r="227">
      <c r="L227" s="8" t="str">
        <f>IF('Cleaned Data'!E227&lt;'Cleaned Data'!D227,"ERROR","OK")</f>
        <v>OK</v>
      </c>
      <c r="M227" s="8" t="str">
        <f>IF(OR('Cleaned Data'!F227="",'Cleaned Data'!G227="",'Cleaned Data'!H227=""),"",IF('Cleaned Data'!F227=0,"CHECK",IF(ABS(('Cleaned Data'!G227/'Cleaned Data'!F227)-'Cleaned Data'!H227)&lt;=0.01,"OK","CHECK")))</f>
        <v>OK</v>
      </c>
    </row>
    <row r="228">
      <c r="L228" s="8" t="str">
        <f>IF('Cleaned Data'!E228&lt;'Cleaned Data'!D228,"ERROR","OK")</f>
        <v>OK</v>
      </c>
      <c r="M228" s="8" t="str">
        <f>IF(OR('Cleaned Data'!F228="",'Cleaned Data'!G228="",'Cleaned Data'!H228=""),"",IF('Cleaned Data'!F228=0,"CHECK",IF(ABS(('Cleaned Data'!G228/'Cleaned Data'!F228)-'Cleaned Data'!H228)&lt;=0.01,"OK","CHECK")))</f>
        <v>OK</v>
      </c>
    </row>
    <row r="229">
      <c r="L229" s="8" t="str">
        <f>IF('Cleaned Data'!E229&lt;'Cleaned Data'!D229,"ERROR","OK")</f>
        <v>OK</v>
      </c>
      <c r="M229" s="8" t="str">
        <f>IF(OR('Cleaned Data'!F229="",'Cleaned Data'!G229="",'Cleaned Data'!H229=""),"",IF('Cleaned Data'!F229=0,"CHECK",IF(ABS(('Cleaned Data'!G229/'Cleaned Data'!F229)-'Cleaned Data'!H229)&lt;=0.01,"OK","CHECK")))</f>
        <v>OK</v>
      </c>
    </row>
    <row r="230">
      <c r="L230" s="8" t="str">
        <f>IF('Cleaned Data'!E230&lt;'Cleaned Data'!D230,"ERROR","OK")</f>
        <v>OK</v>
      </c>
      <c r="M230" s="8" t="str">
        <f>IF(OR('Cleaned Data'!F230="",'Cleaned Data'!G230="",'Cleaned Data'!H230=""),"",IF('Cleaned Data'!F230=0,"CHECK",IF(ABS(('Cleaned Data'!G230/'Cleaned Data'!F230)-'Cleaned Data'!H230)&lt;=0.01,"OK","CHECK")))</f>
        <v>OK</v>
      </c>
    </row>
    <row r="231">
      <c r="L231" s="8" t="str">
        <f>IF('Cleaned Data'!E231&lt;'Cleaned Data'!D231,"ERROR","OK")</f>
        <v>OK</v>
      </c>
      <c r="M231" s="8" t="str">
        <f>IF(OR('Cleaned Data'!F231="",'Cleaned Data'!G231="",'Cleaned Data'!H231=""),"",IF('Cleaned Data'!F231=0,"CHECK",IF(ABS(('Cleaned Data'!G231/'Cleaned Data'!F231)-'Cleaned Data'!H231)&lt;=0.01,"OK","CHECK")))</f>
        <v>OK</v>
      </c>
    </row>
    <row r="232">
      <c r="L232" s="8" t="str">
        <f>IF('Cleaned Data'!E232&lt;'Cleaned Data'!D232,"ERROR","OK")</f>
        <v>OK</v>
      </c>
      <c r="M232" s="8" t="str">
        <f>IF(OR('Cleaned Data'!F232="",'Cleaned Data'!G232="",'Cleaned Data'!H232=""),"",IF('Cleaned Data'!F232=0,"CHECK",IF(ABS(('Cleaned Data'!G232/'Cleaned Data'!F232)-'Cleaned Data'!H232)&lt;=0.01,"OK","CHECK")))</f>
        <v>OK</v>
      </c>
    </row>
    <row r="233">
      <c r="L233" s="8" t="str">
        <f>IF('Cleaned Data'!E233&lt;'Cleaned Data'!D233,"ERROR","OK")</f>
        <v>OK</v>
      </c>
      <c r="M233" s="8" t="str">
        <f>IF(OR('Cleaned Data'!F233="",'Cleaned Data'!G233="",'Cleaned Data'!H233=""),"",IF('Cleaned Data'!F233=0,"CHECK",IF(ABS(('Cleaned Data'!G233/'Cleaned Data'!F233)-'Cleaned Data'!H233)&lt;=0.01,"OK","CHECK")))</f>
        <v>OK</v>
      </c>
    </row>
    <row r="234">
      <c r="L234" s="8" t="str">
        <f>IF('Cleaned Data'!E234&lt;'Cleaned Data'!D234,"ERROR","OK")</f>
        <v>OK</v>
      </c>
      <c r="M234" s="8" t="str">
        <f>IF(OR('Cleaned Data'!F234="",'Cleaned Data'!G234="",'Cleaned Data'!H234=""),"",IF('Cleaned Data'!F234=0,"CHECK",IF(ABS(('Cleaned Data'!G234/'Cleaned Data'!F234)-'Cleaned Data'!H234)&lt;=0.01,"OK","CHECK")))</f>
        <v>OK</v>
      </c>
    </row>
    <row r="235">
      <c r="L235" s="8" t="str">
        <f>IF('Cleaned Data'!E235&lt;'Cleaned Data'!D235,"ERROR","OK")</f>
        <v>OK</v>
      </c>
      <c r="M235" s="8" t="str">
        <f>IF(OR('Cleaned Data'!F235="",'Cleaned Data'!G235="",'Cleaned Data'!H235=""),"",IF('Cleaned Data'!F235=0,"CHECK",IF(ABS(('Cleaned Data'!G235/'Cleaned Data'!F235)-'Cleaned Data'!H235)&lt;=0.01,"OK","CHECK")))</f>
        <v>OK</v>
      </c>
    </row>
    <row r="236">
      <c r="L236" s="8" t="str">
        <f>IF('Cleaned Data'!E236&lt;'Cleaned Data'!D236,"ERROR","OK")</f>
        <v>OK</v>
      </c>
      <c r="M236" s="8" t="str">
        <f>IF(OR('Cleaned Data'!F236="",'Cleaned Data'!G236="",'Cleaned Data'!H236=""),"",IF('Cleaned Data'!F236=0,"CHECK",IF(ABS(('Cleaned Data'!G236/'Cleaned Data'!F236)-'Cleaned Data'!H236)&lt;=0.01,"OK","CHECK")))</f>
        <v>OK</v>
      </c>
    </row>
    <row r="237">
      <c r="L237" s="8" t="str">
        <f>IF('Cleaned Data'!E237&lt;'Cleaned Data'!D237,"ERROR","OK")</f>
        <v>OK</v>
      </c>
      <c r="M237" s="8" t="str">
        <f>IF(OR('Cleaned Data'!F237="",'Cleaned Data'!G237="",'Cleaned Data'!H237=""),"",IF('Cleaned Data'!F237=0,"CHECK",IF(ABS(('Cleaned Data'!G237/'Cleaned Data'!F237)-'Cleaned Data'!H237)&lt;=0.01,"OK","CHECK")))</f>
        <v>OK</v>
      </c>
    </row>
    <row r="238">
      <c r="L238" s="8" t="str">
        <f>IF('Cleaned Data'!E238&lt;'Cleaned Data'!D238,"ERROR","OK")</f>
        <v>OK</v>
      </c>
      <c r="M238" s="8" t="str">
        <f>IF(OR('Cleaned Data'!F238="",'Cleaned Data'!G238="",'Cleaned Data'!H238=""),"",IF('Cleaned Data'!F238=0,"CHECK",IF(ABS(('Cleaned Data'!G238/'Cleaned Data'!F238)-'Cleaned Data'!H238)&lt;=0.01,"OK","CHECK")))</f>
        <v>OK</v>
      </c>
    </row>
    <row r="239">
      <c r="L239" s="8" t="str">
        <f>IF('Cleaned Data'!E239&lt;'Cleaned Data'!D239,"ERROR","OK")</f>
        <v>OK</v>
      </c>
      <c r="M239" s="8" t="str">
        <f>IF(OR('Cleaned Data'!F239="",'Cleaned Data'!G239="",'Cleaned Data'!H239=""),"",IF('Cleaned Data'!F239=0,"CHECK",IF(ABS(('Cleaned Data'!G239/'Cleaned Data'!F239)-'Cleaned Data'!H239)&lt;=0.01,"OK","CHECK")))</f>
        <v>OK</v>
      </c>
    </row>
    <row r="240">
      <c r="L240" s="8" t="str">
        <f>IF('Cleaned Data'!E240&lt;'Cleaned Data'!D240,"ERROR","OK")</f>
        <v>OK</v>
      </c>
      <c r="M240" s="8" t="str">
        <f>IF(OR('Cleaned Data'!F240="",'Cleaned Data'!G240="",'Cleaned Data'!H240=""),"",IF('Cleaned Data'!F240=0,"CHECK",IF(ABS(('Cleaned Data'!G240/'Cleaned Data'!F240)-'Cleaned Data'!H240)&lt;=0.01,"OK","CHECK")))</f>
        <v>OK</v>
      </c>
    </row>
    <row r="241">
      <c r="L241" s="8" t="str">
        <f>IF('Cleaned Data'!E241&lt;'Cleaned Data'!D241,"ERROR","OK")</f>
        <v>OK</v>
      </c>
      <c r="M241" s="8" t="str">
        <f>IF(OR('Cleaned Data'!F241="",'Cleaned Data'!G241="",'Cleaned Data'!H241=""),"",IF('Cleaned Data'!F241=0,"CHECK",IF(ABS(('Cleaned Data'!G241/'Cleaned Data'!F241)-'Cleaned Data'!H241)&lt;=0.01,"OK","CHECK")))</f>
        <v>OK</v>
      </c>
    </row>
    <row r="242">
      <c r="L242" s="8" t="str">
        <f>IF('Cleaned Data'!E242&lt;'Cleaned Data'!D242,"ERROR","OK")</f>
        <v>OK</v>
      </c>
      <c r="M242" s="8" t="str">
        <f>IF(OR('Cleaned Data'!F242="",'Cleaned Data'!G242="",'Cleaned Data'!H242=""),"",IF('Cleaned Data'!F242=0,"CHECK",IF(ABS(('Cleaned Data'!G242/'Cleaned Data'!F242)-'Cleaned Data'!H242)&lt;=0.01,"OK","CHECK")))</f>
        <v>OK</v>
      </c>
    </row>
    <row r="243">
      <c r="L243" s="8" t="str">
        <f>IF('Cleaned Data'!E243&lt;'Cleaned Data'!D243,"ERROR","OK")</f>
        <v>OK</v>
      </c>
      <c r="M243" s="8" t="str">
        <f>IF(OR('Cleaned Data'!F243="",'Cleaned Data'!G243="",'Cleaned Data'!H243=""),"",IF('Cleaned Data'!F243=0,"CHECK",IF(ABS(('Cleaned Data'!G243/'Cleaned Data'!F243)-'Cleaned Data'!H243)&lt;=0.01,"OK","CHECK")))</f>
        <v>OK</v>
      </c>
    </row>
    <row r="244">
      <c r="L244" s="8" t="str">
        <f>IF('Cleaned Data'!E244&lt;'Cleaned Data'!D244,"ERROR","OK")</f>
        <v>OK</v>
      </c>
      <c r="M244" s="8" t="str">
        <f>IF(OR('Cleaned Data'!F244="",'Cleaned Data'!G244="",'Cleaned Data'!H244=""),"",IF('Cleaned Data'!F244=0,"CHECK",IF(ABS(('Cleaned Data'!G244/'Cleaned Data'!F244)-'Cleaned Data'!H244)&lt;=0.01,"OK","CHECK")))</f>
        <v>OK</v>
      </c>
    </row>
    <row r="245">
      <c r="L245" s="8" t="str">
        <f>IF('Cleaned Data'!E245&lt;'Cleaned Data'!D245,"ERROR","OK")</f>
        <v>OK</v>
      </c>
      <c r="M245" s="8" t="str">
        <f>IF(OR('Cleaned Data'!F245="",'Cleaned Data'!G245="",'Cleaned Data'!H245=""),"",IF('Cleaned Data'!F245=0,"CHECK",IF(ABS(('Cleaned Data'!G245/'Cleaned Data'!F245)-'Cleaned Data'!H245)&lt;=0.01,"OK","CHECK")))</f>
        <v>OK</v>
      </c>
    </row>
    <row r="246">
      <c r="L246" s="8" t="str">
        <f>IF('Cleaned Data'!E246&lt;'Cleaned Data'!D246,"ERROR","OK")</f>
        <v>OK</v>
      </c>
      <c r="M246" s="8" t="str">
        <f>IF(OR('Cleaned Data'!F246="",'Cleaned Data'!G246="",'Cleaned Data'!H246=""),"",IF('Cleaned Data'!F246=0,"CHECK",IF(ABS(('Cleaned Data'!G246/'Cleaned Data'!F246)-'Cleaned Data'!H246)&lt;=0.01,"OK","CHECK")))</f>
        <v>OK</v>
      </c>
    </row>
    <row r="247">
      <c r="L247" s="8" t="str">
        <f>IF('Cleaned Data'!E247&lt;'Cleaned Data'!D247,"ERROR","OK")</f>
        <v>OK</v>
      </c>
      <c r="M247" s="8" t="str">
        <f>IF(OR('Cleaned Data'!F247="",'Cleaned Data'!G247="",'Cleaned Data'!H247=""),"",IF('Cleaned Data'!F247=0,"CHECK",IF(ABS(('Cleaned Data'!G247/'Cleaned Data'!F247)-'Cleaned Data'!H247)&lt;=0.01,"OK","CHECK")))</f>
        <v>OK</v>
      </c>
    </row>
    <row r="248">
      <c r="L248" s="8" t="str">
        <f>IF('Cleaned Data'!E248&lt;'Cleaned Data'!D248,"ERROR","OK")</f>
        <v>OK</v>
      </c>
      <c r="M248" s="8" t="str">
        <f>IF(OR('Cleaned Data'!F248="",'Cleaned Data'!G248="",'Cleaned Data'!H248=""),"",IF('Cleaned Data'!F248=0,"CHECK",IF(ABS(('Cleaned Data'!G248/'Cleaned Data'!F248)-'Cleaned Data'!H248)&lt;=0.01,"OK","CHECK")))</f>
        <v>OK</v>
      </c>
    </row>
    <row r="249">
      <c r="L249" s="8" t="str">
        <f>IF('Cleaned Data'!E249&lt;'Cleaned Data'!D249,"ERROR","OK")</f>
        <v>OK</v>
      </c>
      <c r="M249" s="8" t="str">
        <f>IF(OR('Cleaned Data'!F249="",'Cleaned Data'!G249="",'Cleaned Data'!H249=""),"",IF('Cleaned Data'!F249=0,"CHECK",IF(ABS(('Cleaned Data'!G249/'Cleaned Data'!F249)-'Cleaned Data'!H249)&lt;=0.01,"OK","CHECK")))</f>
        <v>OK</v>
      </c>
    </row>
    <row r="250">
      <c r="L250" s="8" t="str">
        <f>IF('Cleaned Data'!E250&lt;'Cleaned Data'!D250,"ERROR","OK")</f>
        <v>OK</v>
      </c>
      <c r="M250" s="8" t="str">
        <f>IF(OR('Cleaned Data'!F250="",'Cleaned Data'!G250="",'Cleaned Data'!H250=""),"",IF('Cleaned Data'!F250=0,"CHECK",IF(ABS(('Cleaned Data'!G250/'Cleaned Data'!F250)-'Cleaned Data'!H250)&lt;=0.01,"OK","CHECK")))</f>
        <v>OK</v>
      </c>
    </row>
    <row r="251">
      <c r="L251" s="8" t="str">
        <f>IF('Cleaned Data'!E251&lt;'Cleaned Data'!D251,"ERROR","OK")</f>
        <v>OK</v>
      </c>
      <c r="M251" s="8" t="str">
        <f>IF(OR('Cleaned Data'!F251="",'Cleaned Data'!G251="",'Cleaned Data'!H251=""),"",IF('Cleaned Data'!F251=0,"CHECK",IF(ABS(('Cleaned Data'!G251/'Cleaned Data'!F251)-'Cleaned Data'!H251)&lt;=0.01,"OK","CHECK")))</f>
        <v>OK</v>
      </c>
    </row>
    <row r="252">
      <c r="L252" s="8" t="str">
        <f>IF('Cleaned Data'!E252&lt;'Cleaned Data'!D252,"ERROR","OK")</f>
        <v>OK</v>
      </c>
      <c r="M252" s="8" t="str">
        <f>IF(OR('Cleaned Data'!F252="",'Cleaned Data'!G252="",'Cleaned Data'!H252=""),"",IF('Cleaned Data'!F252=0,"CHECK",IF(ABS(('Cleaned Data'!G252/'Cleaned Data'!F252)-'Cleaned Data'!H252)&lt;=0.01,"OK","CHECK")))</f>
        <v>OK</v>
      </c>
    </row>
    <row r="253">
      <c r="L253" s="8" t="str">
        <f>IF('Cleaned Data'!E253&lt;'Cleaned Data'!D253,"ERROR","OK")</f>
        <v>OK</v>
      </c>
      <c r="M253" s="8" t="str">
        <f>IF(OR('Cleaned Data'!F253="",'Cleaned Data'!G253="",'Cleaned Data'!H253=""),"",IF('Cleaned Data'!F253=0,"CHECK",IF(ABS(('Cleaned Data'!G253/'Cleaned Data'!F253)-'Cleaned Data'!H253)&lt;=0.01,"OK","CHECK")))</f>
        <v>OK</v>
      </c>
    </row>
    <row r="254">
      <c r="L254" s="8" t="str">
        <f>IF('Cleaned Data'!E254&lt;'Cleaned Data'!D254,"ERROR","OK")</f>
        <v>OK</v>
      </c>
      <c r="M254" s="8" t="str">
        <f>IF(OR('Cleaned Data'!F254="",'Cleaned Data'!G254="",'Cleaned Data'!H254=""),"",IF('Cleaned Data'!F254=0,"CHECK",IF(ABS(('Cleaned Data'!G254/'Cleaned Data'!F254)-'Cleaned Data'!H254)&lt;=0.01,"OK","CHECK")))</f>
        <v>OK</v>
      </c>
    </row>
    <row r="255">
      <c r="L255" s="8" t="str">
        <f>IF('Cleaned Data'!E255&lt;'Cleaned Data'!D255,"ERROR","OK")</f>
        <v>OK</v>
      </c>
      <c r="M255" s="8" t="str">
        <f>IF(OR('Cleaned Data'!F255="",'Cleaned Data'!G255="",'Cleaned Data'!H255=""),"",IF('Cleaned Data'!F255=0,"CHECK",IF(ABS(('Cleaned Data'!G255/'Cleaned Data'!F255)-'Cleaned Data'!H255)&lt;=0.01,"OK","CHECK")))</f>
        <v>OK</v>
      </c>
    </row>
    <row r="256">
      <c r="L256" s="8" t="str">
        <f>IF('Cleaned Data'!E256&lt;'Cleaned Data'!D256,"ERROR","OK")</f>
        <v>OK</v>
      </c>
      <c r="M256" s="8" t="str">
        <f>IF(OR('Cleaned Data'!F256="",'Cleaned Data'!G256="",'Cleaned Data'!H256=""),"",IF('Cleaned Data'!F256=0,"CHECK",IF(ABS(('Cleaned Data'!G256/'Cleaned Data'!F256)-'Cleaned Data'!H256)&lt;=0.01,"OK","CHECK")))</f>
        <v>OK</v>
      </c>
    </row>
    <row r="257">
      <c r="L257" s="8" t="str">
        <f>IF('Cleaned Data'!E257&lt;'Cleaned Data'!D257,"ERROR","OK")</f>
        <v>OK</v>
      </c>
      <c r="M257" s="8" t="str">
        <f>IF(OR('Cleaned Data'!F257="",'Cleaned Data'!G257="",'Cleaned Data'!H257=""),"",IF('Cleaned Data'!F257=0,"CHECK",IF(ABS(('Cleaned Data'!G257/'Cleaned Data'!F257)-'Cleaned Data'!H257)&lt;=0.01,"OK","CHECK")))</f>
        <v>OK</v>
      </c>
    </row>
    <row r="258">
      <c r="L258" s="8" t="str">
        <f>IF('Cleaned Data'!E258&lt;'Cleaned Data'!D258,"ERROR","OK")</f>
        <v>OK</v>
      </c>
      <c r="M258" s="8" t="str">
        <f>IF(OR('Cleaned Data'!F258="",'Cleaned Data'!G258="",'Cleaned Data'!H258=""),"",IF('Cleaned Data'!F258=0,"CHECK",IF(ABS(('Cleaned Data'!G258/'Cleaned Data'!F258)-'Cleaned Data'!H258)&lt;=0.01,"OK","CHECK")))</f>
        <v>OK</v>
      </c>
    </row>
    <row r="259">
      <c r="L259" s="8" t="str">
        <f>IF('Cleaned Data'!E259&lt;'Cleaned Data'!D259,"ERROR","OK")</f>
        <v>OK</v>
      </c>
      <c r="M259" s="8" t="str">
        <f>IF(OR('Cleaned Data'!F259="",'Cleaned Data'!G259="",'Cleaned Data'!H259=""),"",IF('Cleaned Data'!F259=0,"CHECK",IF(ABS(('Cleaned Data'!G259/'Cleaned Data'!F259)-'Cleaned Data'!H259)&lt;=0.01,"OK","CHECK")))</f>
        <v>OK</v>
      </c>
    </row>
    <row r="260">
      <c r="L260" s="8" t="str">
        <f>IF('Cleaned Data'!E260&lt;'Cleaned Data'!D260,"ERROR","OK")</f>
        <v>OK</v>
      </c>
      <c r="M260" s="8" t="str">
        <f>IF(OR('Cleaned Data'!F260="",'Cleaned Data'!G260="",'Cleaned Data'!H260=""),"",IF('Cleaned Data'!F260=0,"CHECK",IF(ABS(('Cleaned Data'!G260/'Cleaned Data'!F260)-'Cleaned Data'!H260)&lt;=0.01,"OK","CHECK")))</f>
        <v>OK</v>
      </c>
    </row>
    <row r="261">
      <c r="L261" s="8" t="str">
        <f>IF('Cleaned Data'!E261&lt;'Cleaned Data'!D261,"ERROR","OK")</f>
        <v>OK</v>
      </c>
      <c r="M261" s="8" t="str">
        <f>IF(OR('Cleaned Data'!F261="",'Cleaned Data'!G261="",'Cleaned Data'!H261=""),"",IF('Cleaned Data'!F261=0,"CHECK",IF(ABS(('Cleaned Data'!G261/'Cleaned Data'!F261)-'Cleaned Data'!H261)&lt;=0.01,"OK","CHECK")))</f>
        <v>OK</v>
      </c>
    </row>
    <row r="262">
      <c r="L262" s="8" t="str">
        <f>IF('Cleaned Data'!E262&lt;'Cleaned Data'!D262,"ERROR","OK")</f>
        <v>OK</v>
      </c>
      <c r="M262" s="8" t="str">
        <f>IF(OR('Cleaned Data'!F262="",'Cleaned Data'!G262="",'Cleaned Data'!H262=""),"",IF('Cleaned Data'!F262=0,"CHECK",IF(ABS(('Cleaned Data'!G262/'Cleaned Data'!F262)-'Cleaned Data'!H262)&lt;=0.01,"OK","CHECK")))</f>
        <v>OK</v>
      </c>
    </row>
    <row r="263">
      <c r="L263" s="8" t="str">
        <f>IF('Cleaned Data'!E263&lt;'Cleaned Data'!D263,"ERROR","OK")</f>
        <v>OK</v>
      </c>
      <c r="M263" s="8" t="str">
        <f>IF(OR('Cleaned Data'!F263="",'Cleaned Data'!G263="",'Cleaned Data'!H263=""),"",IF('Cleaned Data'!F263=0,"CHECK",IF(ABS(('Cleaned Data'!G263/'Cleaned Data'!F263)-'Cleaned Data'!H263)&lt;=0.01,"OK","CHECK")))</f>
        <v>OK</v>
      </c>
    </row>
    <row r="264">
      <c r="L264" s="8" t="str">
        <f>IF('Cleaned Data'!E264&lt;'Cleaned Data'!D264,"ERROR","OK")</f>
        <v>OK</v>
      </c>
      <c r="M264" s="8" t="str">
        <f>IF(OR('Cleaned Data'!F264="",'Cleaned Data'!G264="",'Cleaned Data'!H264=""),"",IF('Cleaned Data'!F264=0,"CHECK",IF(ABS(('Cleaned Data'!G264/'Cleaned Data'!F264)-'Cleaned Data'!H264)&lt;=0.01,"OK","CHECK")))</f>
        <v>OK</v>
      </c>
    </row>
    <row r="265">
      <c r="L265" s="8" t="str">
        <f>IF('Cleaned Data'!E265&lt;'Cleaned Data'!D265,"ERROR","OK")</f>
        <v>OK</v>
      </c>
      <c r="M265" s="8" t="str">
        <f>IF(OR('Cleaned Data'!F265="",'Cleaned Data'!G265="",'Cleaned Data'!H265=""),"",IF('Cleaned Data'!F265=0,"CHECK",IF(ABS(('Cleaned Data'!G265/'Cleaned Data'!F265)-'Cleaned Data'!H265)&lt;=0.01,"OK","CHECK")))</f>
        <v>OK</v>
      </c>
    </row>
    <row r="266">
      <c r="L266" s="8" t="str">
        <f>IF('Cleaned Data'!E266&lt;'Cleaned Data'!D266,"ERROR","OK")</f>
        <v>OK</v>
      </c>
      <c r="M266" s="8" t="str">
        <f>IF(OR('Cleaned Data'!F266="",'Cleaned Data'!G266="",'Cleaned Data'!H266=""),"",IF('Cleaned Data'!F266=0,"CHECK",IF(ABS(('Cleaned Data'!G266/'Cleaned Data'!F266)-'Cleaned Data'!H266)&lt;=0.01,"OK","CHECK")))</f>
        <v>OK</v>
      </c>
    </row>
    <row r="267">
      <c r="L267" s="8" t="str">
        <f>IF('Cleaned Data'!E267&lt;'Cleaned Data'!D267,"ERROR","OK")</f>
        <v>OK</v>
      </c>
      <c r="M267" s="8" t="str">
        <f>IF(OR('Cleaned Data'!F267="",'Cleaned Data'!G267="",'Cleaned Data'!H267=""),"",IF('Cleaned Data'!F267=0,"CHECK",IF(ABS(('Cleaned Data'!G267/'Cleaned Data'!F267)-'Cleaned Data'!H267)&lt;=0.01,"OK","CHECK")))</f>
        <v>OK</v>
      </c>
    </row>
    <row r="268">
      <c r="L268" s="8" t="str">
        <f>IF('Cleaned Data'!E268&lt;'Cleaned Data'!D268,"ERROR","OK")</f>
        <v>OK</v>
      </c>
      <c r="M268" s="8" t="str">
        <f>IF(OR('Cleaned Data'!F268="",'Cleaned Data'!G268="",'Cleaned Data'!H268=""),"",IF('Cleaned Data'!F268=0,"CHECK",IF(ABS(('Cleaned Data'!G268/'Cleaned Data'!F268)-'Cleaned Data'!H268)&lt;=0.01,"OK","CHECK")))</f>
        <v>OK</v>
      </c>
    </row>
    <row r="269">
      <c r="L269" s="8" t="str">
        <f>IF('Cleaned Data'!E269&lt;'Cleaned Data'!D269,"ERROR","OK")</f>
        <v>OK</v>
      </c>
      <c r="M269" s="8" t="str">
        <f>IF(OR('Cleaned Data'!F269="",'Cleaned Data'!G269="",'Cleaned Data'!H269=""),"",IF('Cleaned Data'!F269=0,"CHECK",IF(ABS(('Cleaned Data'!G269/'Cleaned Data'!F269)-'Cleaned Data'!H269)&lt;=0.01,"OK","CHECK")))</f>
        <v>OK</v>
      </c>
    </row>
    <row r="270">
      <c r="L270" s="8" t="str">
        <f>IF('Cleaned Data'!E270&lt;'Cleaned Data'!D270,"ERROR","OK")</f>
        <v>OK</v>
      </c>
      <c r="M270" s="8" t="str">
        <f>IF(OR('Cleaned Data'!F270="",'Cleaned Data'!G270="",'Cleaned Data'!H270=""),"",IF('Cleaned Data'!F270=0,"CHECK",IF(ABS(('Cleaned Data'!G270/'Cleaned Data'!F270)-'Cleaned Data'!H270)&lt;=0.01,"OK","CHECK")))</f>
        <v>OK</v>
      </c>
    </row>
    <row r="271">
      <c r="L271" s="8" t="str">
        <f>IF('Cleaned Data'!E271&lt;'Cleaned Data'!D271,"ERROR","OK")</f>
        <v>OK</v>
      </c>
      <c r="M271" s="8" t="str">
        <f>IF(OR('Cleaned Data'!F271="",'Cleaned Data'!G271="",'Cleaned Data'!H271=""),"",IF('Cleaned Data'!F271=0,"CHECK",IF(ABS(('Cleaned Data'!G271/'Cleaned Data'!F271)-'Cleaned Data'!H271)&lt;=0.01,"OK","CHECK")))</f>
        <v>OK</v>
      </c>
    </row>
    <row r="272">
      <c r="L272" s="8" t="str">
        <f>IF('Cleaned Data'!E272&lt;'Cleaned Data'!D272,"ERROR","OK")</f>
        <v>OK</v>
      </c>
      <c r="M272" s="8" t="str">
        <f>IF(OR('Cleaned Data'!F272="",'Cleaned Data'!G272="",'Cleaned Data'!H272=""),"",IF('Cleaned Data'!F272=0,"CHECK",IF(ABS(('Cleaned Data'!G272/'Cleaned Data'!F272)-'Cleaned Data'!H272)&lt;=0.01,"OK","CHECK")))</f>
        <v>OK</v>
      </c>
    </row>
    <row r="273">
      <c r="L273" s="8" t="str">
        <f>IF('Cleaned Data'!E273&lt;'Cleaned Data'!D273,"ERROR","OK")</f>
        <v>OK</v>
      </c>
      <c r="M273" s="8" t="str">
        <f>IF(OR('Cleaned Data'!F273="",'Cleaned Data'!G273="",'Cleaned Data'!H273=""),"",IF('Cleaned Data'!F273=0,"CHECK",IF(ABS(('Cleaned Data'!G273/'Cleaned Data'!F273)-'Cleaned Data'!H273)&lt;=0.01,"OK","CHECK")))</f>
        <v>OK</v>
      </c>
    </row>
    <row r="274">
      <c r="L274" s="8" t="str">
        <f>IF('Cleaned Data'!E274&lt;'Cleaned Data'!D274,"ERROR","OK")</f>
        <v>OK</v>
      </c>
      <c r="M274" s="8" t="str">
        <f>IF(OR('Cleaned Data'!F274="",'Cleaned Data'!G274="",'Cleaned Data'!H274=""),"",IF('Cleaned Data'!F274=0,"CHECK",IF(ABS(('Cleaned Data'!G274/'Cleaned Data'!F274)-'Cleaned Data'!H274)&lt;=0.01,"OK","CHECK")))</f>
        <v>OK</v>
      </c>
    </row>
    <row r="275">
      <c r="L275" s="8" t="str">
        <f>IF('Cleaned Data'!E275&lt;'Cleaned Data'!D275,"ERROR","OK")</f>
        <v>OK</v>
      </c>
      <c r="M275" s="8" t="str">
        <f>IF(OR('Cleaned Data'!F275="",'Cleaned Data'!G275="",'Cleaned Data'!H275=""),"",IF('Cleaned Data'!F275=0,"CHECK",IF(ABS(('Cleaned Data'!G275/'Cleaned Data'!F275)-'Cleaned Data'!H275)&lt;=0.01,"OK","CHECK")))</f>
        <v>OK</v>
      </c>
    </row>
    <row r="276">
      <c r="L276" s="8" t="str">
        <f>IF('Cleaned Data'!E276&lt;'Cleaned Data'!D276,"ERROR","OK")</f>
        <v>OK</v>
      </c>
      <c r="M276" s="8" t="str">
        <f>IF(OR('Cleaned Data'!F276="",'Cleaned Data'!G276="",'Cleaned Data'!H276=""),"",IF('Cleaned Data'!F276=0,"CHECK",IF(ABS(('Cleaned Data'!G276/'Cleaned Data'!F276)-'Cleaned Data'!H276)&lt;=0.01,"OK","CHECK")))</f>
        <v>OK</v>
      </c>
    </row>
    <row r="277">
      <c r="L277" s="8" t="str">
        <f>IF('Cleaned Data'!E277&lt;'Cleaned Data'!D277,"ERROR","OK")</f>
        <v>OK</v>
      </c>
      <c r="M277" s="8" t="str">
        <f>IF(OR('Cleaned Data'!F277="",'Cleaned Data'!G277="",'Cleaned Data'!H277=""),"",IF('Cleaned Data'!F277=0,"CHECK",IF(ABS(('Cleaned Data'!G277/'Cleaned Data'!F277)-'Cleaned Data'!H277)&lt;=0.01,"OK","CHECK")))</f>
        <v>OK</v>
      </c>
    </row>
    <row r="278">
      <c r="L278" s="8" t="str">
        <f>IF('Cleaned Data'!E278&lt;'Cleaned Data'!D278,"ERROR","OK")</f>
        <v>OK</v>
      </c>
      <c r="M278" s="8" t="str">
        <f>IF(OR('Cleaned Data'!F278="",'Cleaned Data'!G278="",'Cleaned Data'!H278=""),"",IF('Cleaned Data'!F278=0,"CHECK",IF(ABS(('Cleaned Data'!G278/'Cleaned Data'!F278)-'Cleaned Data'!H278)&lt;=0.01,"OK","CHECK")))</f>
        <v>OK</v>
      </c>
    </row>
    <row r="279">
      <c r="L279" s="8" t="str">
        <f>IF('Cleaned Data'!E279&lt;'Cleaned Data'!D279,"ERROR","OK")</f>
        <v>OK</v>
      </c>
      <c r="M279" s="8" t="str">
        <f>IF(OR('Cleaned Data'!F279="",'Cleaned Data'!G279="",'Cleaned Data'!H279=""),"",IF('Cleaned Data'!F279=0,"CHECK",IF(ABS(('Cleaned Data'!G279/'Cleaned Data'!F279)-'Cleaned Data'!H279)&lt;=0.01,"OK","CHECK")))</f>
        <v>OK</v>
      </c>
    </row>
    <row r="280">
      <c r="L280" s="8" t="str">
        <f>IF('Cleaned Data'!E280&lt;'Cleaned Data'!D280,"ERROR","OK")</f>
        <v>OK</v>
      </c>
      <c r="M280" s="8" t="str">
        <f>IF(OR('Cleaned Data'!F280="",'Cleaned Data'!G280="",'Cleaned Data'!H280=""),"",IF('Cleaned Data'!F280=0,"CHECK",IF(ABS(('Cleaned Data'!G280/'Cleaned Data'!F280)-'Cleaned Data'!H280)&lt;=0.01,"OK","CHECK")))</f>
        <v>OK</v>
      </c>
    </row>
    <row r="281">
      <c r="L281" s="8" t="str">
        <f>IF('Cleaned Data'!E281&lt;'Cleaned Data'!D281,"ERROR","OK")</f>
        <v>OK</v>
      </c>
      <c r="M281" s="8" t="str">
        <f>IF(OR('Cleaned Data'!F281="",'Cleaned Data'!G281="",'Cleaned Data'!H281=""),"",IF('Cleaned Data'!F281=0,"CHECK",IF(ABS(('Cleaned Data'!G281/'Cleaned Data'!F281)-'Cleaned Data'!H281)&lt;=0.01,"OK","CHECK")))</f>
        <v>OK</v>
      </c>
    </row>
    <row r="282">
      <c r="L282" s="8">
        <f>COUNTIF(L2:L281,"ERROR")</f>
        <v>0</v>
      </c>
      <c r="M282" s="8">
        <f>COUNTIF(M2:M281,"CHECK")</f>
        <v>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319</v>
      </c>
    </row>
    <row r="2">
      <c r="A2" s="14" t="s">
        <v>324</v>
      </c>
      <c r="B2" s="14" t="s">
        <v>325</v>
      </c>
    </row>
    <row r="3">
      <c r="A3" s="1" t="s">
        <v>326</v>
      </c>
      <c r="B3" s="1">
        <v>280.0</v>
      </c>
    </row>
    <row r="4">
      <c r="A4" s="1" t="s">
        <v>327</v>
      </c>
      <c r="B4" s="1">
        <v>76.0</v>
      </c>
    </row>
    <row r="5">
      <c r="A5" s="1" t="s">
        <v>328</v>
      </c>
      <c r="B5" s="15">
        <v>0.271</v>
      </c>
    </row>
    <row r="6">
      <c r="A6" s="1" t="s">
        <v>329</v>
      </c>
      <c r="B6" s="1">
        <v>2.2</v>
      </c>
    </row>
    <row r="7">
      <c r="A7" s="1" t="s">
        <v>330</v>
      </c>
      <c r="B7" s="1">
        <v>315.6</v>
      </c>
    </row>
    <row r="10">
      <c r="A10" s="13" t="s">
        <v>331</v>
      </c>
    </row>
    <row r="11">
      <c r="A11" s="14" t="s">
        <v>332</v>
      </c>
      <c r="B11" s="14" t="s">
        <v>333</v>
      </c>
      <c r="C11" s="14" t="s">
        <v>334</v>
      </c>
    </row>
    <row r="12">
      <c r="A12" s="1" t="s">
        <v>335</v>
      </c>
      <c r="B12" s="1" t="s">
        <v>336</v>
      </c>
      <c r="C12" s="1" t="s">
        <v>337</v>
      </c>
    </row>
    <row r="13">
      <c r="A13" s="1" t="s">
        <v>338</v>
      </c>
      <c r="B13" s="1" t="s">
        <v>339</v>
      </c>
      <c r="C13" s="1" t="s">
        <v>340</v>
      </c>
    </row>
    <row r="14">
      <c r="A14" s="1" t="s">
        <v>341</v>
      </c>
      <c r="B14" s="1" t="s">
        <v>342</v>
      </c>
      <c r="C14" s="1" t="s">
        <v>343</v>
      </c>
    </row>
    <row r="15">
      <c r="A15" s="1" t="s">
        <v>344</v>
      </c>
      <c r="B15" s="1" t="s">
        <v>345</v>
      </c>
      <c r="C15" s="1" t="s">
        <v>346</v>
      </c>
    </row>
    <row r="16">
      <c r="A16" s="1" t="s">
        <v>347</v>
      </c>
    </row>
    <row r="17">
      <c r="A17" s="1" t="s">
        <v>348</v>
      </c>
    </row>
    <row r="18">
      <c r="A18" s="1" t="s">
        <v>349</v>
      </c>
    </row>
    <row r="19">
      <c r="A19" s="1" t="s">
        <v>350</v>
      </c>
      <c r="B19" s="1" t="s">
        <v>351</v>
      </c>
      <c r="C19" s="1" t="s">
        <v>352</v>
      </c>
    </row>
    <row r="21">
      <c r="A21" s="1" t="s">
        <v>353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 t="s">
        <v>356</v>
      </c>
      <c r="B1" s="12" t="s">
        <v>357</v>
      </c>
      <c r="C1" s="12" t="s">
        <v>358</v>
      </c>
      <c r="D1" s="12" t="s">
        <v>359</v>
      </c>
      <c r="E1" s="16"/>
      <c r="F1" s="16"/>
      <c r="G1" s="16"/>
      <c r="H1" s="16"/>
      <c r="I1" s="16"/>
      <c r="J1" s="16"/>
      <c r="K1" s="16"/>
      <c r="L1" s="16"/>
      <c r="M1" s="16"/>
      <c r="N1" s="16"/>
      <c r="O1" s="16"/>
      <c r="P1" s="16"/>
      <c r="Q1" s="16"/>
      <c r="R1" s="16"/>
      <c r="S1" s="16"/>
      <c r="T1" s="16"/>
      <c r="U1" s="16"/>
      <c r="V1" s="16"/>
      <c r="W1" s="16"/>
      <c r="X1" s="16"/>
      <c r="Y1" s="16"/>
      <c r="Z1" s="16"/>
    </row>
    <row r="2">
      <c r="A2" s="1" t="s">
        <v>362</v>
      </c>
      <c r="B2" s="1" t="s">
        <v>363</v>
      </c>
      <c r="C2" s="1" t="s">
        <v>364</v>
      </c>
      <c r="D2" s="1" t="s">
        <v>365</v>
      </c>
    </row>
    <row r="3">
      <c r="A3" s="1" t="s">
        <v>367</v>
      </c>
      <c r="B3" s="1" t="s">
        <v>369</v>
      </c>
      <c r="C3" s="1" t="s">
        <v>371</v>
      </c>
      <c r="D3" s="1" t="s">
        <v>372</v>
      </c>
    </row>
    <row r="4">
      <c r="A4" s="1" t="s">
        <v>376</v>
      </c>
      <c r="B4" s="1" t="s">
        <v>378</v>
      </c>
      <c r="C4" s="1" t="s">
        <v>381</v>
      </c>
      <c r="D4" s="1" t="s">
        <v>383</v>
      </c>
    </row>
    <row r="6">
      <c r="A6" s="1" t="s">
        <v>385</v>
      </c>
      <c r="B6" s="1" t="s">
        <v>395</v>
      </c>
    </row>
    <row r="8">
      <c r="A8" s="1" t="s">
        <v>397</v>
      </c>
    </row>
    <row r="9">
      <c r="A9" s="1" t="s">
        <v>398</v>
      </c>
    </row>
    <row r="12">
      <c r="A12" s="1" t="s">
        <v>399</v>
      </c>
    </row>
    <row r="13">
      <c r="A13" s="1" t="s">
        <v>400</v>
      </c>
    </row>
  </sheetData>
  <mergeCells count="2">
    <mergeCell ref="A9:D9"/>
    <mergeCell ref="A13:D1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366</v>
      </c>
      <c r="B1" s="2" t="s">
        <v>368</v>
      </c>
      <c r="C1" s="2" t="s">
        <v>370</v>
      </c>
    </row>
    <row r="2">
      <c r="A2" s="1" t="s">
        <v>373</v>
      </c>
      <c r="B2" s="1" t="s">
        <v>374</v>
      </c>
      <c r="C2" s="1" t="s">
        <v>375</v>
      </c>
      <c r="D2" s="1"/>
    </row>
    <row r="3">
      <c r="A3" s="1" t="s">
        <v>377</v>
      </c>
      <c r="B3" s="1" t="s">
        <v>379</v>
      </c>
      <c r="C3" s="1" t="s">
        <v>380</v>
      </c>
    </row>
    <row r="4">
      <c r="A4" s="1" t="s">
        <v>382</v>
      </c>
      <c r="B4" s="1" t="s">
        <v>384</v>
      </c>
      <c r="C4" s="1" t="s">
        <v>386</v>
      </c>
    </row>
    <row r="5">
      <c r="A5" s="1" t="s">
        <v>382</v>
      </c>
      <c r="B5" s="1" t="s">
        <v>387</v>
      </c>
      <c r="C5" s="1" t="s">
        <v>388</v>
      </c>
    </row>
    <row r="6">
      <c r="A6" s="1" t="s">
        <v>389</v>
      </c>
      <c r="B6" s="1" t="s">
        <v>390</v>
      </c>
      <c r="C6" s="1" t="s">
        <v>391</v>
      </c>
    </row>
    <row r="8">
      <c r="A8" s="1" t="s">
        <v>392</v>
      </c>
      <c r="B8" s="1" t="s">
        <v>393</v>
      </c>
      <c r="C8" s="1" t="s">
        <v>394</v>
      </c>
    </row>
  </sheetData>
  <drawing r:id="rId1"/>
</worksheet>
</file>